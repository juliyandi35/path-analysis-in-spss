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Research Consultant\Project P85240425 (Path Analysis in SPSS)\"/>
    </mc:Choice>
  </mc:AlternateContent>
  <xr:revisionPtr revIDLastSave="0" documentId="13_ncr:1_{E5ABA58A-75D9-432E-80F4-1ACA5CB3BC70}" xr6:coauthVersionLast="47" xr6:coauthVersionMax="47" xr10:uidLastSave="{00000000-0000-0000-0000-000000000000}"/>
  <bookViews>
    <workbookView xWindow="9510" yWindow="0" windowWidth="9780" windowHeight="10170" firstSheet="2" activeTab="2" xr2:uid="{973FA9B5-79CE-41C1-8196-98E5B3F65B48}"/>
  </bookViews>
  <sheets>
    <sheet name="Validitas" sheetId="1" r:id="rId1"/>
    <sheet name="Rangkuman Validitas" sheetId="3" r:id="rId2"/>
    <sheet name="Reliabilita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2" i="2"/>
  <c r="E3" i="2" a="1"/>
  <c r="E3" i="2" s="1"/>
  <c r="E4" i="2" a="1"/>
  <c r="E4" i="2"/>
  <c r="E5" i="2" a="1"/>
  <c r="E5" i="2"/>
  <c r="E6" i="2" a="1"/>
  <c r="E6" i="2"/>
  <c r="E7" i="2" a="1"/>
  <c r="E7" i="2" s="1"/>
  <c r="E2" i="2" a="1"/>
  <c r="E2" i="2"/>
  <c r="Y4" i="1" a="1"/>
  <c r="Y4" i="1" s="1"/>
  <c r="Z4" i="1" s="1"/>
  <c r="Y5" i="1" a="1"/>
  <c r="Y5" i="1"/>
  <c r="Z5" i="1" s="1"/>
  <c r="Y6" i="1" a="1"/>
  <c r="Y6" i="1"/>
  <c r="Z6" i="1" s="1"/>
  <c r="Y7" i="1" a="1"/>
  <c r="Y7" i="1"/>
  <c r="Z7" i="1" s="1"/>
  <c r="Y8" i="1" a="1"/>
  <c r="Y8" i="1" s="1"/>
  <c r="Z8" i="1" s="1"/>
  <c r="Y9" i="1" a="1"/>
  <c r="Y9" i="1"/>
  <c r="Y10" i="1" a="1"/>
  <c r="Y10" i="1"/>
  <c r="Y11" i="1" a="1"/>
  <c r="Y11" i="1"/>
  <c r="Z11" i="1" s="1"/>
  <c r="Y12" i="1" a="1"/>
  <c r="Y12" i="1" s="1"/>
  <c r="Z12" i="1" s="1"/>
  <c r="Y13" i="1" a="1"/>
  <c r="Y13" i="1"/>
  <c r="Y14" i="1" a="1"/>
  <c r="Y14" i="1"/>
  <c r="Z14" i="1" s="1"/>
  <c r="Y15" i="1" a="1"/>
  <c r="Y15" i="1"/>
  <c r="Z15" i="1" s="1"/>
  <c r="Y16" i="1" a="1"/>
  <c r="Y16" i="1" s="1"/>
  <c r="Z16" i="1" s="1"/>
  <c r="Y17" i="1" a="1"/>
  <c r="Y17" i="1" s="1"/>
  <c r="Z17" i="1" s="1"/>
  <c r="Y18" i="1" a="1"/>
  <c r="Y18" i="1"/>
  <c r="Z18" i="1" s="1"/>
  <c r="Y19" i="1" a="1"/>
  <c r="Y19" i="1"/>
  <c r="Y3" i="1" a="1"/>
  <c r="Y3" i="1" s="1"/>
  <c r="Z3" i="1" s="1"/>
  <c r="X3" i="1" a="1"/>
  <c r="X3" i="1" s="1"/>
  <c r="X4" i="1" a="1"/>
  <c r="X4" i="1" s="1"/>
  <c r="X5" i="1" a="1"/>
  <c r="X5" i="1"/>
  <c r="X6" i="1" a="1"/>
  <c r="X6" i="1"/>
  <c r="X7" i="1" a="1"/>
  <c r="X7" i="1" s="1"/>
  <c r="X8" i="1" a="1"/>
  <c r="X8" i="1" s="1"/>
  <c r="X9" i="1" a="1"/>
  <c r="X9" i="1"/>
  <c r="X10" i="1" a="1"/>
  <c r="X10" i="1"/>
  <c r="X11" i="1" a="1"/>
  <c r="X11" i="1" s="1"/>
  <c r="X12" i="1" a="1"/>
  <c r="X12" i="1" s="1"/>
  <c r="X13" i="1" a="1"/>
  <c r="X13" i="1"/>
  <c r="X14" i="1" a="1"/>
  <c r="X14" i="1"/>
  <c r="X15" i="1" a="1"/>
  <c r="X15" i="1" s="1"/>
  <c r="X16" i="1" a="1"/>
  <c r="X16" i="1" s="1"/>
  <c r="X17" i="1" a="1"/>
  <c r="X17" i="1"/>
  <c r="X18" i="1" a="1"/>
  <c r="X18" i="1"/>
  <c r="X19" i="1" a="1"/>
  <c r="X19" i="1" s="1"/>
  <c r="W3" i="1" a="1"/>
  <c r="W3" i="1"/>
  <c r="W4" i="1" a="1"/>
  <c r="W4" i="1" s="1"/>
  <c r="W5" i="1" a="1"/>
  <c r="W5" i="1"/>
  <c r="W6" i="1" a="1"/>
  <c r="W6" i="1"/>
  <c r="W7" i="1" a="1"/>
  <c r="W7" i="1"/>
  <c r="W8" i="1" a="1"/>
  <c r="W8" i="1"/>
  <c r="W9" i="1" a="1"/>
  <c r="W9" i="1"/>
  <c r="Z9" i="1"/>
  <c r="W10" i="1" a="1"/>
  <c r="W10" i="1" s="1"/>
  <c r="Z10" i="1"/>
  <c r="W11" i="1" a="1"/>
  <c r="W11" i="1"/>
  <c r="W12" i="1" a="1"/>
  <c r="W12" i="1" s="1"/>
  <c r="W13" i="1" a="1"/>
  <c r="W13" i="1"/>
  <c r="Z13" i="1"/>
  <c r="W14" i="1" a="1"/>
  <c r="W14" i="1"/>
  <c r="W15" i="1" a="1"/>
  <c r="W15" i="1"/>
  <c r="W16" i="1" a="1"/>
  <c r="W16" i="1"/>
  <c r="W17" i="1" a="1"/>
  <c r="W17" i="1"/>
  <c r="W18" i="1" a="1"/>
  <c r="W18" i="1" s="1"/>
  <c r="W19" i="1" a="1"/>
  <c r="W19" i="1"/>
  <c r="Z19" i="1"/>
  <c r="X62" i="1" a="1"/>
  <c r="X62" i="1" s="1"/>
  <c r="Y62" i="1" a="1"/>
  <c r="Y62" i="1"/>
  <c r="Z62" i="1" a="1"/>
  <c r="Z62" i="1"/>
  <c r="AA62" i="1"/>
  <c r="X63" i="1" a="1"/>
  <c r="X63" i="1" s="1"/>
  <c r="Y63" i="1" a="1"/>
  <c r="Y63" i="1"/>
  <c r="Z63" i="1" a="1"/>
  <c r="Z63" i="1"/>
  <c r="AA63" i="1" s="1"/>
  <c r="X64" i="1" a="1"/>
  <c r="X64" i="1"/>
  <c r="Y64" i="1" a="1"/>
  <c r="Y64" i="1" s="1"/>
  <c r="Z64" i="1" a="1"/>
  <c r="Z64" i="1"/>
  <c r="AA64" i="1" s="1"/>
  <c r="X65" i="1" a="1"/>
  <c r="X65" i="1" s="1"/>
  <c r="Y65" i="1" a="1"/>
  <c r="Y65" i="1" s="1"/>
  <c r="Z65" i="1" a="1"/>
  <c r="Z65" i="1"/>
  <c r="AA65" i="1"/>
  <c r="X66" i="1" a="1"/>
  <c r="X66" i="1" s="1"/>
  <c r="Y66" i="1" a="1"/>
  <c r="Y66" i="1" s="1"/>
  <c r="Z66" i="1" a="1"/>
  <c r="Z66" i="1" s="1"/>
  <c r="AA66" i="1" s="1"/>
  <c r="X67" i="1" a="1"/>
  <c r="X67" i="1"/>
  <c r="Y67" i="1" a="1"/>
  <c r="Y67" i="1"/>
  <c r="Z67" i="1" a="1"/>
  <c r="Z67" i="1" s="1"/>
  <c r="AA67" i="1" s="1"/>
  <c r="X68" i="1" a="1"/>
  <c r="X68" i="1" s="1"/>
  <c r="Y68" i="1" a="1"/>
  <c r="Y68" i="1"/>
  <c r="Z68" i="1" a="1"/>
  <c r="Z68" i="1"/>
  <c r="AA68" i="1" s="1"/>
  <c r="X69" i="1" a="1"/>
  <c r="X69" i="1" s="1"/>
  <c r="Y69" i="1" a="1"/>
  <c r="Y69" i="1" s="1"/>
  <c r="Z69" i="1" a="1"/>
  <c r="Z69" i="1"/>
  <c r="AA69" i="1"/>
  <c r="X70" i="1" a="1"/>
  <c r="X70" i="1"/>
  <c r="Y70" i="1" a="1"/>
  <c r="Y70" i="1"/>
  <c r="Z70" i="1" a="1"/>
  <c r="Z70" i="1"/>
  <c r="AA70" i="1"/>
  <c r="X71" i="1" a="1"/>
  <c r="X71" i="1" s="1"/>
  <c r="Y71" i="1" a="1"/>
  <c r="Y71" i="1"/>
  <c r="Z71" i="1" a="1"/>
  <c r="Z71" i="1"/>
  <c r="AA71" i="1" s="1"/>
  <c r="X72" i="1" a="1"/>
  <c r="X72" i="1"/>
  <c r="Y72" i="1" a="1"/>
  <c r="Y72" i="1"/>
  <c r="Z72" i="1" a="1"/>
  <c r="Z72" i="1" s="1"/>
  <c r="AA72" i="1" s="1"/>
  <c r="X73" i="1" a="1"/>
  <c r="X73" i="1"/>
  <c r="Y73" i="1" a="1"/>
  <c r="Y73" i="1" s="1"/>
  <c r="Z73" i="1" a="1"/>
  <c r="Z73" i="1"/>
  <c r="AA73" i="1"/>
  <c r="X74" i="1" a="1"/>
  <c r="X74" i="1"/>
  <c r="Y74" i="1" a="1"/>
  <c r="Y74" i="1"/>
  <c r="Z74" i="1" a="1"/>
  <c r="Z74" i="1" s="1"/>
  <c r="AA74" i="1" s="1"/>
  <c r="X75" i="1" a="1"/>
  <c r="X75" i="1"/>
  <c r="Y75" i="1" a="1"/>
  <c r="Y75" i="1" s="1"/>
  <c r="Z75" i="1" a="1"/>
  <c r="Z75" i="1" s="1"/>
  <c r="AA75" i="1" s="1"/>
  <c r="X76" i="1" a="1"/>
  <c r="X76" i="1"/>
  <c r="Y76" i="1" a="1"/>
  <c r="Y76" i="1"/>
  <c r="Z76" i="1" a="1"/>
  <c r="Z76" i="1"/>
  <c r="AA76" i="1" s="1"/>
  <c r="X77" i="1" a="1"/>
  <c r="X77" i="1"/>
  <c r="Y77" i="1" a="1"/>
  <c r="Y77" i="1"/>
  <c r="Z77" i="1" a="1"/>
  <c r="Z77" i="1"/>
  <c r="AA77" i="1"/>
  <c r="X78" i="1" a="1"/>
  <c r="X78" i="1" s="1"/>
  <c r="Y78" i="1" a="1"/>
  <c r="Y78" i="1"/>
  <c r="Z78" i="1" a="1"/>
  <c r="Z78" i="1"/>
  <c r="AA78" i="1"/>
  <c r="X79" i="1" a="1"/>
  <c r="X79" i="1" s="1"/>
  <c r="Y79" i="1" a="1"/>
  <c r="Y79" i="1"/>
  <c r="Z79" i="1" a="1"/>
  <c r="Z79" i="1"/>
  <c r="AA79" i="1" s="1"/>
  <c r="X80" i="1" a="1"/>
  <c r="X80" i="1"/>
  <c r="Y80" i="1" a="1"/>
  <c r="Y80" i="1" s="1"/>
  <c r="Z80" i="1" a="1"/>
  <c r="Z80" i="1"/>
  <c r="AA80" i="1" s="1"/>
  <c r="Y127" i="1" a="1"/>
  <c r="Y127" i="1" s="1"/>
  <c r="Z127" i="1" a="1"/>
  <c r="Z127" i="1"/>
  <c r="AA127" i="1" a="1"/>
  <c r="AA127" i="1" s="1"/>
  <c r="AB127" i="1" s="1"/>
  <c r="Y128" i="1" a="1"/>
  <c r="Y128" i="1" s="1"/>
  <c r="Z128" i="1" a="1"/>
  <c r="Z128" i="1"/>
  <c r="AA128" i="1" a="1"/>
  <c r="AA128" i="1"/>
  <c r="AB128" i="1" s="1"/>
  <c r="Y129" i="1" a="1"/>
  <c r="Y129" i="1"/>
  <c r="Z129" i="1" a="1"/>
  <c r="Z129" i="1" s="1"/>
  <c r="AA129" i="1" a="1"/>
  <c r="AA129" i="1"/>
  <c r="AB129" i="1"/>
  <c r="Y130" i="1" a="1"/>
  <c r="Y130" i="1" s="1"/>
  <c r="Z130" i="1" a="1"/>
  <c r="Z130" i="1" s="1"/>
  <c r="AA130" i="1" a="1"/>
  <c r="AA130" i="1"/>
  <c r="AB130" i="1"/>
  <c r="Y131" i="1" a="1"/>
  <c r="Y131" i="1"/>
  <c r="Z131" i="1" a="1"/>
  <c r="Z131" i="1" s="1"/>
  <c r="AA131" i="1" a="1"/>
  <c r="AA131" i="1" s="1"/>
  <c r="AB131" i="1" s="1"/>
  <c r="Y132" i="1" a="1"/>
  <c r="Y132" i="1" s="1"/>
  <c r="Z132" i="1" a="1"/>
  <c r="Z132" i="1"/>
  <c r="AA132" i="1" a="1"/>
  <c r="AA132" i="1" s="1"/>
  <c r="AB132" i="1" s="1"/>
  <c r="Y133" i="1" a="1"/>
  <c r="Y133" i="1" s="1"/>
  <c r="Z133" i="1" a="1"/>
  <c r="Z133" i="1" s="1"/>
  <c r="AA133" i="1" a="1"/>
  <c r="AA133" i="1" s="1"/>
  <c r="AB133" i="1" s="1"/>
  <c r="Y134" i="1" a="1"/>
  <c r="Y134" i="1"/>
  <c r="Z134" i="1" a="1"/>
  <c r="Z134" i="1" s="1"/>
  <c r="AA134" i="1" a="1"/>
  <c r="AA134" i="1"/>
  <c r="AB134" i="1" s="1"/>
  <c r="Y135" i="1" a="1"/>
  <c r="Y135" i="1" s="1"/>
  <c r="Z135" i="1" a="1"/>
  <c r="Z135" i="1"/>
  <c r="AA135" i="1" a="1"/>
  <c r="AA135" i="1"/>
  <c r="AB135" i="1"/>
  <c r="Y136" i="1" a="1"/>
  <c r="Y136" i="1" s="1"/>
  <c r="Z136" i="1" a="1"/>
  <c r="Z136" i="1" s="1"/>
  <c r="AA136" i="1" a="1"/>
  <c r="AA136" i="1"/>
  <c r="AB136" i="1"/>
  <c r="Y137" i="1" a="1"/>
  <c r="Y137" i="1"/>
  <c r="Z137" i="1" a="1"/>
  <c r="Z137" i="1" s="1"/>
  <c r="AA137" i="1" a="1"/>
  <c r="AA137" i="1" s="1"/>
  <c r="AB137" i="1" s="1"/>
  <c r="Y138" i="1" a="1"/>
  <c r="Y138" i="1" s="1"/>
  <c r="Z138" i="1" a="1"/>
  <c r="Z138" i="1" s="1"/>
  <c r="AA138" i="1" a="1"/>
  <c r="AA138" i="1" s="1"/>
  <c r="AB138" i="1" s="1"/>
  <c r="Y139" i="1" a="1"/>
  <c r="Y139" i="1" s="1"/>
  <c r="Z139" i="1" a="1"/>
  <c r="Z139" i="1" s="1"/>
  <c r="AA139" i="1" a="1"/>
  <c r="AA139" i="1" s="1"/>
  <c r="AB139" i="1" s="1"/>
  <c r="Y140" i="1" a="1"/>
  <c r="Y140" i="1"/>
  <c r="Z140" i="1" a="1"/>
  <c r="Z140" i="1"/>
  <c r="AA140" i="1" a="1"/>
  <c r="AA140" i="1" s="1"/>
  <c r="AB140" i="1" s="1"/>
  <c r="Y141" i="1" a="1"/>
  <c r="Y141" i="1" s="1"/>
  <c r="Z141" i="1" a="1"/>
  <c r="Z141" i="1"/>
  <c r="AA141" i="1" a="1"/>
  <c r="AA141" i="1"/>
  <c r="AB141" i="1" s="1"/>
  <c r="Y142" i="1" a="1"/>
  <c r="Y142" i="1" s="1"/>
  <c r="Z142" i="1" a="1"/>
  <c r="Z142" i="1"/>
  <c r="AA142" i="1" a="1"/>
  <c r="AA142" i="1" s="1"/>
  <c r="AB142" i="1" s="1"/>
  <c r="Y143" i="1" a="1"/>
  <c r="Y143" i="1"/>
  <c r="Z143" i="1" a="1"/>
  <c r="Z143" i="1"/>
  <c r="AA143" i="1" a="1"/>
  <c r="AA143" i="1" s="1"/>
  <c r="AB143" i="1" s="1"/>
  <c r="Y144" i="1" a="1"/>
  <c r="Y144" i="1" s="1"/>
  <c r="Z144" i="1" a="1"/>
  <c r="Z144" i="1" s="1"/>
  <c r="AA144" i="1" a="1"/>
  <c r="AA144" i="1"/>
  <c r="AB144" i="1"/>
  <c r="Y145" i="1" a="1"/>
  <c r="Y145" i="1"/>
  <c r="Z145" i="1" a="1"/>
  <c r="Z145" i="1"/>
  <c r="AA145" i="1" a="1"/>
  <c r="AA145" i="1"/>
  <c r="AB145" i="1"/>
  <c r="Y146" i="1" a="1"/>
  <c r="Y146" i="1"/>
  <c r="Z146" i="1" a="1"/>
  <c r="Z146" i="1" s="1"/>
  <c r="AA146" i="1" a="1"/>
  <c r="AA146" i="1" s="1"/>
  <c r="AB146" i="1" s="1"/>
  <c r="AF334" i="1" a="1"/>
  <c r="AF334" i="1" s="1"/>
  <c r="AG334" i="1" s="1"/>
  <c r="AF335" i="1" a="1"/>
  <c r="AF335" i="1" s="1"/>
  <c r="AG335" i="1" s="1"/>
  <c r="AF336" i="1" a="1"/>
  <c r="AF336" i="1" s="1"/>
  <c r="AG336" i="1" s="1"/>
  <c r="AF337" i="1" a="1"/>
  <c r="AF337" i="1" s="1"/>
  <c r="AG337" i="1" s="1"/>
  <c r="AF338" i="1" a="1"/>
  <c r="AF338" i="1" s="1"/>
  <c r="AG338" i="1" s="1"/>
  <c r="AF339" i="1" a="1"/>
  <c r="AF339" i="1"/>
  <c r="AG339" i="1" s="1"/>
  <c r="AF340" i="1" a="1"/>
  <c r="AF340" i="1" s="1"/>
  <c r="AG340" i="1" s="1"/>
  <c r="AF317" i="1" a="1"/>
  <c r="AF317" i="1" s="1"/>
  <c r="AG317" i="1" s="1"/>
  <c r="AF318" i="1" a="1"/>
  <c r="AF318" i="1" s="1"/>
  <c r="AG318" i="1" s="1"/>
  <c r="AF319" i="1" a="1"/>
  <c r="AF319" i="1"/>
  <c r="AG319" i="1" s="1"/>
  <c r="AF320" i="1" a="1"/>
  <c r="AF320" i="1" s="1"/>
  <c r="AG320" i="1" s="1"/>
  <c r="AF321" i="1" a="1"/>
  <c r="AF321" i="1" s="1"/>
  <c r="AG321" i="1" s="1"/>
  <c r="AF322" i="1" a="1"/>
  <c r="AF322" i="1" s="1"/>
  <c r="AG322" i="1" s="1"/>
  <c r="AF323" i="1" a="1"/>
  <c r="AF323" i="1" s="1"/>
  <c r="AG323" i="1" s="1"/>
  <c r="AF324" i="1" a="1"/>
  <c r="AF324" i="1" s="1"/>
  <c r="AG324" i="1" s="1"/>
  <c r="AF325" i="1" a="1"/>
  <c r="AF325" i="1" s="1"/>
  <c r="AG325" i="1" s="1"/>
  <c r="AF326" i="1" a="1"/>
  <c r="AF326" i="1" s="1"/>
  <c r="AG326" i="1" s="1"/>
  <c r="AF327" i="1" a="1"/>
  <c r="AF327" i="1"/>
  <c r="AG327" i="1" s="1"/>
  <c r="AF328" i="1" a="1"/>
  <c r="AF328" i="1" s="1"/>
  <c r="AG328" i="1" s="1"/>
  <c r="AF329" i="1" a="1"/>
  <c r="AF329" i="1" s="1"/>
  <c r="AG329" i="1" s="1"/>
  <c r="AF330" i="1" a="1"/>
  <c r="AF330" i="1"/>
  <c r="AG330" i="1" s="1"/>
  <c r="AF331" i="1" a="1"/>
  <c r="AF331" i="1" s="1"/>
  <c r="AG331" i="1" s="1"/>
  <c r="AF332" i="1" a="1"/>
  <c r="AF332" i="1"/>
  <c r="AG332" i="1" s="1"/>
  <c r="AF333" i="1" a="1"/>
  <c r="AF333" i="1" s="1"/>
  <c r="AG333" i="1" s="1"/>
  <c r="AF316" i="1" a="1"/>
  <c r="AF316" i="1" s="1"/>
  <c r="AG316" i="1" s="1"/>
  <c r="AE316" i="1" a="1"/>
  <c r="AE316" i="1" s="1"/>
  <c r="AE334" i="1" a="1"/>
  <c r="AE334" i="1" s="1"/>
  <c r="AE335" i="1" a="1"/>
  <c r="AE335" i="1" s="1"/>
  <c r="AE336" i="1" a="1"/>
  <c r="AE336" i="1" s="1"/>
  <c r="AE337" i="1" a="1"/>
  <c r="AE337" i="1"/>
  <c r="AE338" i="1" a="1"/>
  <c r="AE338" i="1" s="1"/>
  <c r="AE339" i="1" a="1"/>
  <c r="AE339" i="1" s="1"/>
  <c r="AE340" i="1" a="1"/>
  <c r="AE340" i="1" s="1"/>
  <c r="AE317" i="1" a="1"/>
  <c r="AE317" i="1" s="1"/>
  <c r="AE318" i="1" a="1"/>
  <c r="AE318" i="1" s="1"/>
  <c r="AE319" i="1" a="1"/>
  <c r="AE319" i="1" s="1"/>
  <c r="AE320" i="1" a="1"/>
  <c r="AE320" i="1" s="1"/>
  <c r="AE321" i="1" a="1"/>
  <c r="AE321" i="1" s="1"/>
  <c r="AE322" i="1" a="1"/>
  <c r="AE322" i="1" s="1"/>
  <c r="AE323" i="1" a="1"/>
  <c r="AE323" i="1" s="1"/>
  <c r="AE324" i="1" a="1"/>
  <c r="AE324" i="1" s="1"/>
  <c r="AE325" i="1" a="1"/>
  <c r="AE325" i="1" s="1"/>
  <c r="AE326" i="1" a="1"/>
  <c r="AE326" i="1" s="1"/>
  <c r="AE327" i="1" a="1"/>
  <c r="AE327" i="1"/>
  <c r="AE328" i="1" a="1"/>
  <c r="AE328" i="1" s="1"/>
  <c r="AE329" i="1" a="1"/>
  <c r="AE329" i="1" s="1"/>
  <c r="AE330" i="1" a="1"/>
  <c r="AE330" i="1" s="1"/>
  <c r="AE331" i="1" a="1"/>
  <c r="AE331" i="1" s="1"/>
  <c r="AE332" i="1" a="1"/>
  <c r="AE332" i="1" s="1"/>
  <c r="AE333" i="1" a="1"/>
  <c r="AE333" i="1" s="1"/>
  <c r="AD316" i="1" a="1"/>
  <c r="AD316" i="1" s="1"/>
  <c r="AD340" i="1" a="1"/>
  <c r="AD340" i="1" s="1"/>
  <c r="AD338" i="1" a="1"/>
  <c r="AD338" i="1" s="1"/>
  <c r="AD339" i="1" a="1"/>
  <c r="AD339" i="1" s="1"/>
  <c r="AD334" i="1" a="1"/>
  <c r="AD334" i="1" s="1"/>
  <c r="AD335" i="1" a="1"/>
  <c r="AD335" i="1" s="1"/>
  <c r="AD336" i="1" a="1"/>
  <c r="AD336" i="1" s="1"/>
  <c r="AD337" i="1" a="1"/>
  <c r="AD337" i="1" s="1"/>
  <c r="AD317" i="1" a="1"/>
  <c r="AD317" i="1" s="1"/>
  <c r="AD318" i="1" a="1"/>
  <c r="AD318" i="1" s="1"/>
  <c r="AD319" i="1" a="1"/>
  <c r="AD319" i="1"/>
  <c r="AD320" i="1" a="1"/>
  <c r="AD320" i="1" s="1"/>
  <c r="AD321" i="1" a="1"/>
  <c r="AD321" i="1" s="1"/>
  <c r="AD322" i="1" a="1"/>
  <c r="AD322" i="1" s="1"/>
  <c r="AD323" i="1" a="1"/>
  <c r="AD323" i="1" s="1"/>
  <c r="AD324" i="1" a="1"/>
  <c r="AD324" i="1" s="1"/>
  <c r="AD325" i="1" a="1"/>
  <c r="AD325" i="1" s="1"/>
  <c r="AD326" i="1" a="1"/>
  <c r="AD326" i="1" s="1"/>
  <c r="AD327" i="1" a="1"/>
  <c r="AD327" i="1"/>
  <c r="AD328" i="1" a="1"/>
  <c r="AD328" i="1" s="1"/>
  <c r="AD329" i="1" a="1"/>
  <c r="AD329" i="1" s="1"/>
  <c r="AD330" i="1" a="1"/>
  <c r="AD330" i="1"/>
  <c r="AD331" i="1" a="1"/>
  <c r="AD331" i="1" s="1"/>
  <c r="AD332" i="1" a="1"/>
  <c r="AD332" i="1" s="1"/>
  <c r="AD333" i="1" a="1"/>
  <c r="AD333" i="1" s="1"/>
  <c r="X271" i="1" a="1"/>
  <c r="X271" i="1" s="1"/>
  <c r="Y271" i="1" a="1"/>
  <c r="Y271" i="1" s="1"/>
  <c r="Z271" i="1" s="1"/>
  <c r="Y255" i="1" a="1"/>
  <c r="Y255" i="1" s="1"/>
  <c r="Z255" i="1" s="1"/>
  <c r="Y256" i="1" a="1"/>
  <c r="Y256" i="1"/>
  <c r="Z256" i="1" s="1"/>
  <c r="Y257" i="1" a="1"/>
  <c r="Y257" i="1" s="1"/>
  <c r="Z257" i="1" s="1"/>
  <c r="Y258" i="1" a="1"/>
  <c r="Y258" i="1" s="1"/>
  <c r="Z258" i="1" s="1"/>
  <c r="Y259" i="1" a="1"/>
  <c r="Y259" i="1" s="1"/>
  <c r="Z259" i="1" s="1"/>
  <c r="Y260" i="1" a="1"/>
  <c r="Y260" i="1" s="1"/>
  <c r="Z260" i="1" s="1"/>
  <c r="Y261" i="1" a="1"/>
  <c r="Y261" i="1" s="1"/>
  <c r="Z261" i="1" s="1"/>
  <c r="Y262" i="1" a="1"/>
  <c r="Y262" i="1" s="1"/>
  <c r="Z262" i="1" s="1"/>
  <c r="Y263" i="1" a="1"/>
  <c r="Y263" i="1" s="1"/>
  <c r="Z263" i="1" s="1"/>
  <c r="Y264" i="1" a="1"/>
  <c r="Y264" i="1"/>
  <c r="Z264" i="1" s="1"/>
  <c r="Y265" i="1" a="1"/>
  <c r="Y265" i="1" s="1"/>
  <c r="Z265" i="1" s="1"/>
  <c r="Y266" i="1" a="1"/>
  <c r="Y266" i="1" s="1"/>
  <c r="Z266" i="1" s="1"/>
  <c r="Y267" i="1" a="1"/>
  <c r="Y267" i="1" s="1"/>
  <c r="Z267" i="1" s="1"/>
  <c r="Y268" i="1" a="1"/>
  <c r="Y268" i="1" s="1"/>
  <c r="Z268" i="1" s="1"/>
  <c r="Y269" i="1" a="1"/>
  <c r="Y269" i="1"/>
  <c r="Z269" i="1" s="1"/>
  <c r="Y270" i="1" a="1"/>
  <c r="Y270" i="1" s="1"/>
  <c r="Z270" i="1" s="1"/>
  <c r="Y254" i="1" a="1"/>
  <c r="Y254" i="1" s="1"/>
  <c r="Z254" i="1" s="1"/>
  <c r="X254" i="1" a="1"/>
  <c r="X254" i="1" s="1"/>
  <c r="X255" i="1" a="1"/>
  <c r="X255" i="1" s="1"/>
  <c r="X256" i="1" a="1"/>
  <c r="X256" i="1" s="1"/>
  <c r="X257" i="1" a="1"/>
  <c r="X257" i="1" s="1"/>
  <c r="X258" i="1" a="1"/>
  <c r="X258" i="1" s="1"/>
  <c r="X259" i="1" a="1"/>
  <c r="X259" i="1" s="1"/>
  <c r="X260" i="1" a="1"/>
  <c r="X260" i="1" s="1"/>
  <c r="X261" i="1" a="1"/>
  <c r="X261" i="1" s="1"/>
  <c r="X262" i="1" a="1"/>
  <c r="X262" i="1" s="1"/>
  <c r="X263" i="1" a="1"/>
  <c r="X263" i="1"/>
  <c r="X264" i="1" a="1"/>
  <c r="X264" i="1"/>
  <c r="X265" i="1" a="1"/>
  <c r="X265" i="1" s="1"/>
  <c r="X266" i="1" a="1"/>
  <c r="X266" i="1" s="1"/>
  <c r="X267" i="1" a="1"/>
  <c r="X267" i="1" s="1"/>
  <c r="X268" i="1" a="1"/>
  <c r="X268" i="1" s="1"/>
  <c r="X269" i="1" a="1"/>
  <c r="X269" i="1" s="1"/>
  <c r="X270" i="1" a="1"/>
  <c r="X270" i="1" s="1"/>
  <c r="W254" i="1" a="1"/>
  <c r="W254" i="1" s="1"/>
  <c r="W271" i="1" a="1"/>
  <c r="W271" i="1" s="1"/>
  <c r="W255" i="1" a="1"/>
  <c r="W255" i="1" s="1"/>
  <c r="W256" i="1" a="1"/>
  <c r="W256" i="1" s="1"/>
  <c r="W257" i="1" a="1"/>
  <c r="W257" i="1"/>
  <c r="W258" i="1" a="1"/>
  <c r="W258" i="1" s="1"/>
  <c r="W259" i="1" a="1"/>
  <c r="W259" i="1" s="1"/>
  <c r="W260" i="1" a="1"/>
  <c r="W260" i="1" s="1"/>
  <c r="W261" i="1" a="1"/>
  <c r="W261" i="1" s="1"/>
  <c r="W262" i="1" a="1"/>
  <c r="W262" i="1" s="1"/>
  <c r="W263" i="1" a="1"/>
  <c r="W263" i="1" s="1"/>
  <c r="W264" i="1" a="1"/>
  <c r="W264" i="1"/>
  <c r="W265" i="1" a="1"/>
  <c r="W265" i="1" s="1"/>
  <c r="W266" i="1" a="1"/>
  <c r="W266" i="1"/>
  <c r="W267" i="1" a="1"/>
  <c r="W267" i="1" s="1"/>
  <c r="W268" i="1" a="1"/>
  <c r="W268" i="1" s="1"/>
  <c r="W269" i="1" a="1"/>
  <c r="W269" i="1" s="1"/>
  <c r="W270" i="1" a="1"/>
  <c r="W270" i="1"/>
  <c r="X196" i="1" a="1"/>
  <c r="X196" i="1" s="1"/>
  <c r="Y196" i="1" s="1"/>
  <c r="X197" i="1" a="1"/>
  <c r="X197" i="1" s="1"/>
  <c r="Y197" i="1" s="1"/>
  <c r="X198" i="1" a="1"/>
  <c r="X198" i="1" s="1"/>
  <c r="Y198" i="1" s="1"/>
  <c r="X199" i="1" a="1"/>
  <c r="X199" i="1" s="1"/>
  <c r="Y199" i="1" s="1"/>
  <c r="X200" i="1" a="1"/>
  <c r="X200" i="1" s="1"/>
  <c r="Y200" i="1" s="1"/>
  <c r="X201" i="1" a="1"/>
  <c r="X201" i="1"/>
  <c r="Y201" i="1" s="1"/>
  <c r="X202" i="1" a="1"/>
  <c r="X202" i="1" s="1"/>
  <c r="Y202" i="1" s="1"/>
  <c r="X203" i="1" a="1"/>
  <c r="X203" i="1" s="1"/>
  <c r="Y203" i="1" s="1"/>
  <c r="X204" i="1" a="1"/>
  <c r="X204" i="1" s="1"/>
  <c r="Y204" i="1" s="1"/>
  <c r="X205" i="1" a="1"/>
  <c r="X205" i="1" s="1"/>
  <c r="Y205" i="1" s="1"/>
  <c r="X206" i="1" a="1"/>
  <c r="X206" i="1"/>
  <c r="Y206" i="1" s="1"/>
  <c r="X207" i="1" a="1"/>
  <c r="X207" i="1" s="1"/>
  <c r="Y207" i="1" s="1"/>
  <c r="X208" i="1" a="1"/>
  <c r="X208" i="1" s="1"/>
  <c r="Y208" i="1" s="1"/>
  <c r="X209" i="1" a="1"/>
  <c r="X209" i="1" s="1"/>
  <c r="Y209" i="1" s="1"/>
  <c r="X210" i="1" a="1"/>
  <c r="X210" i="1" s="1"/>
  <c r="Y210" i="1" s="1"/>
  <c r="X211" i="1" a="1"/>
  <c r="X211" i="1" s="1"/>
  <c r="Y211" i="1" s="1"/>
  <c r="X195" i="1" a="1"/>
  <c r="X195" i="1" s="1"/>
  <c r="Y195" i="1" s="1"/>
  <c r="W196" i="1" a="1"/>
  <c r="W196" i="1" s="1"/>
  <c r="W197" i="1" a="1"/>
  <c r="W197" i="1"/>
  <c r="W198" i="1" a="1"/>
  <c r="W198" i="1"/>
  <c r="W199" i="1" a="1"/>
  <c r="W199" i="1" s="1"/>
  <c r="W200" i="1" a="1"/>
  <c r="W200" i="1"/>
  <c r="W201" i="1" a="1"/>
  <c r="W201" i="1"/>
  <c r="W202" i="1" a="1"/>
  <c r="W202" i="1" s="1"/>
  <c r="W203" i="1" a="1"/>
  <c r="W203" i="1" s="1"/>
  <c r="W204" i="1" a="1"/>
  <c r="W204" i="1"/>
  <c r="W205" i="1" a="1"/>
  <c r="W205" i="1" s="1"/>
  <c r="W206" i="1" a="1"/>
  <c r="W206" i="1"/>
  <c r="W207" i="1" a="1"/>
  <c r="W207" i="1" s="1"/>
  <c r="W208" i="1" a="1"/>
  <c r="W208" i="1"/>
  <c r="W209" i="1" a="1"/>
  <c r="W209" i="1"/>
  <c r="W210" i="1" a="1"/>
  <c r="W210" i="1"/>
  <c r="W211" i="1" a="1"/>
  <c r="W211" i="1" s="1"/>
  <c r="W195" i="1" a="1"/>
  <c r="W195" i="1" s="1"/>
  <c r="V195" i="1" a="1"/>
  <c r="V195" i="1" s="1"/>
  <c r="V196" i="1" a="1"/>
  <c r="V196" i="1" s="1"/>
  <c r="V197" i="1" a="1"/>
  <c r="V197" i="1"/>
  <c r="V198" i="1" a="1"/>
  <c r="V198" i="1" s="1"/>
  <c r="V199" i="1" a="1"/>
  <c r="V199" i="1" s="1"/>
  <c r="V200" i="1" a="1"/>
  <c r="V200" i="1" s="1"/>
  <c r="V201" i="1" a="1"/>
  <c r="V201" i="1" s="1"/>
  <c r="V202" i="1" a="1"/>
  <c r="V202" i="1"/>
  <c r="V203" i="1" a="1"/>
  <c r="V203" i="1"/>
  <c r="V204" i="1" a="1"/>
  <c r="V204" i="1" s="1"/>
  <c r="V205" i="1" a="1"/>
  <c r="V205" i="1" s="1"/>
  <c r="V206" i="1" a="1"/>
  <c r="V206" i="1"/>
  <c r="V207" i="1" a="1"/>
  <c r="V207" i="1"/>
  <c r="V208" i="1" a="1"/>
  <c r="V208" i="1" s="1"/>
  <c r="V209" i="1" a="1"/>
  <c r="V209" i="1" s="1"/>
  <c r="V210" i="1" a="1"/>
  <c r="V210" i="1" s="1"/>
  <c r="V211" i="1" a="1"/>
  <c r="V21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<sst xmlns="http://schemas.openxmlformats.org/spreadsheetml/2006/main" count="3039" uniqueCount="570">
  <si>
    <t>Indikator</t>
  </si>
  <si>
    <t/>
  </si>
  <si>
    <t>Correlations</t>
  </si>
  <si>
    <t>BO1</t>
  </si>
  <si>
    <t>BO2</t>
  </si>
  <si>
    <t>BO3</t>
  </si>
  <si>
    <t>BO4</t>
  </si>
  <si>
    <t>BO5</t>
  </si>
  <si>
    <t>BO6</t>
  </si>
  <si>
    <t>BO7</t>
  </si>
  <si>
    <t>BO8</t>
  </si>
  <si>
    <t>BO9</t>
  </si>
  <si>
    <t>BO10</t>
  </si>
  <si>
    <t>BO11</t>
  </si>
  <si>
    <t>BO12</t>
  </si>
  <si>
    <t>BO13</t>
  </si>
  <si>
    <t>BO14</t>
  </si>
  <si>
    <t>BO15</t>
  </si>
  <si>
    <t>BO16</t>
  </si>
  <si>
    <t>BO17</t>
  </si>
  <si>
    <t>Budaya Organisasi</t>
  </si>
  <si>
    <t>Pearson Correlation</t>
  </si>
  <si>
    <t>Sig. (2-tailed)</t>
  </si>
  <si>
    <t>N</t>
  </si>
  <si>
    <t>**. Correlation is significant at the 0.01 level (2-tailed).</t>
  </si>
  <si>
    <t>*. Correlation is significant at the 0.05 level (2-tailed).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</si>
  <si>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</si>
  <si>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</si>
  <si>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</si>
  <si>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</si>
  <si>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</si>
  <si>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</si>
  <si>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</si>
  <si>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</si>
  <si>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</si>
  <si>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</si>
  <si>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</si>
  <si>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</si>
  <si>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</si>
  <si>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</si>
  <si>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</si>
  <si>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</si>
  <si>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</si>
  <si>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</si>
  <si>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</si>
  <si>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Pemberdayaan</t>
  </si>
  <si>
    <t>TKA1</t>
  </si>
  <si>
    <t>TKA2</t>
  </si>
  <si>
    <t>TKA3</t>
  </si>
  <si>
    <t>TKA4</t>
  </si>
  <si>
    <t>TKA5</t>
  </si>
  <si>
    <t>TKA6</t>
  </si>
  <si>
    <t>TKA7</t>
  </si>
  <si>
    <t>TKA8</t>
  </si>
  <si>
    <t>TKA9</t>
  </si>
  <si>
    <t>TKA10</t>
  </si>
  <si>
    <t>TKA11</t>
  </si>
  <si>
    <t>TKA12</t>
  </si>
  <si>
    <t>TKA13</t>
  </si>
  <si>
    <t>TKA14</t>
  </si>
  <si>
    <t>TKA15</t>
  </si>
  <si>
    <t>TKA16</t>
  </si>
  <si>
    <t>TKA17</t>
  </si>
  <si>
    <t>TKA18</t>
  </si>
  <si>
    <t>TKA19</t>
  </si>
  <si>
    <t>TKA20</t>
  </si>
  <si>
    <t>Tata Kelola Keuangan</t>
  </si>
  <si>
    <t>KK1</t>
  </si>
  <si>
    <t>KK2</t>
  </si>
  <si>
    <t>KK3</t>
  </si>
  <si>
    <t>KK4</t>
  </si>
  <si>
    <t>KK5</t>
  </si>
  <si>
    <t>KK6</t>
  </si>
  <si>
    <t>KK7</t>
  </si>
  <si>
    <t>KK8</t>
  </si>
  <si>
    <t>KK9</t>
  </si>
  <si>
    <t>KK10</t>
  </si>
  <si>
    <t>KK11</t>
  </si>
  <si>
    <t>KK12</t>
  </si>
  <si>
    <t>KK13</t>
  </si>
  <si>
    <t>KK14</t>
  </si>
  <si>
    <t>KK15</t>
  </si>
  <si>
    <t>KK16</t>
  </si>
  <si>
    <t>KK17</t>
  </si>
  <si>
    <t>Kepuasan Kerja</t>
  </si>
  <si>
    <t>TSD1</t>
  </si>
  <si>
    <t>TSD2</t>
  </si>
  <si>
    <t>TSD3</t>
  </si>
  <si>
    <t>TSD4</t>
  </si>
  <si>
    <t>TSD5</t>
  </si>
  <si>
    <t>TSD6</t>
  </si>
  <si>
    <t>TSD7</t>
  </si>
  <si>
    <t>TSD8</t>
  </si>
  <si>
    <t>TSD9</t>
  </si>
  <si>
    <t>TSD10</t>
  </si>
  <si>
    <t>TSD11</t>
  </si>
  <si>
    <t>TSD12</t>
  </si>
  <si>
    <t>TSD13</t>
  </si>
  <si>
    <t>TSD14</t>
  </si>
  <si>
    <t>TSD15</t>
  </si>
  <si>
    <t>TSD16</t>
  </si>
  <si>
    <t>TSD17</t>
  </si>
  <si>
    <t>TSD18</t>
  </si>
  <si>
    <t>Tunjangan Sertifikasi Dosen</t>
  </si>
  <si>
    <t>KD1</t>
  </si>
  <si>
    <t>KD2</t>
  </si>
  <si>
    <t>KD3</t>
  </si>
  <si>
    <t>KD4</t>
  </si>
  <si>
    <t>KD5</t>
  </si>
  <si>
    <t>KD6</t>
  </si>
  <si>
    <t>KD7</t>
  </si>
  <si>
    <t>KD8</t>
  </si>
  <si>
    <t>KD9</t>
  </si>
  <si>
    <t>KD10</t>
  </si>
  <si>
    <t>KD11</t>
  </si>
  <si>
    <t>KD12</t>
  </si>
  <si>
    <t>KD13</t>
  </si>
  <si>
    <t>KD14</t>
  </si>
  <si>
    <t>KD15</t>
  </si>
  <si>
    <t>KD16</t>
  </si>
  <si>
    <t>KD17</t>
  </si>
  <si>
    <t>KD18</t>
  </si>
  <si>
    <t>KD19</t>
  </si>
  <si>
    <t>KD20</t>
  </si>
  <si>
    <t>KD21</t>
  </si>
  <si>
    <t>KD22</t>
  </si>
  <si>
    <t>KD23</t>
  </si>
  <si>
    <t>KD24</t>
  </si>
  <si>
    <t>KD25</t>
  </si>
  <si>
    <t>Kinerja Dosen</t>
  </si>
  <si>
    <t>Korelasi Pearson</t>
  </si>
  <si>
    <t>p-value</t>
  </si>
  <si>
    <t>Keterangan</t>
  </si>
  <si>
    <t>0,669**</t>
  </si>
  <si>
    <t>0,504**</t>
  </si>
  <si>
    <t>0,404**</t>
  </si>
  <si>
    <t>0,255**</t>
  </si>
  <si>
    <t>0,322**</t>
  </si>
  <si>
    <t>0,416**</t>
  </si>
  <si>
    <t>0,421**</t>
  </si>
  <si>
    <t>0,263**</t>
  </si>
  <si>
    <t>0,307**</t>
  </si>
  <si>
    <t>0,331**</t>
  </si>
  <si>
    <t>0,244**</t>
  </si>
  <si>
    <t>0,248**</t>
  </si>
  <si>
    <t>0,241**</t>
  </si>
  <si>
    <t>0,193**</t>
  </si>
  <si>
    <t>0,367**</t>
  </si>
  <si>
    <t>0,646**</t>
  </si>
  <si>
    <t>0,334**</t>
  </si>
  <si>
    <t>0,212**</t>
  </si>
  <si>
    <t>0,216**</t>
  </si>
  <si>
    <t>0,273**</t>
  </si>
  <si>
    <t>0,146*</t>
  </si>
  <si>
    <t>0,296**</t>
  </si>
  <si>
    <t>0,197**</t>
  </si>
  <si>
    <t>0,225**</t>
  </si>
  <si>
    <t>0,412**</t>
  </si>
  <si>
    <t>0,724**</t>
  </si>
  <si>
    <t>0,227**</t>
  </si>
  <si>
    <t>0,251**</t>
  </si>
  <si>
    <t>0,769**</t>
  </si>
  <si>
    <t>0,196**</t>
  </si>
  <si>
    <t>0,226**</t>
  </si>
  <si>
    <t>0,381**</t>
  </si>
  <si>
    <t>0,348**</t>
  </si>
  <si>
    <t>0,305**</t>
  </si>
  <si>
    <t>0,581**</t>
  </si>
  <si>
    <t>0,438**</t>
  </si>
  <si>
    <t>0,853**</t>
  </si>
  <si>
    <t>0,326**</t>
  </si>
  <si>
    <t>0,148*</t>
  </si>
  <si>
    <t>0,176**</t>
  </si>
  <si>
    <t>0,382**</t>
  </si>
  <si>
    <t>0,250**</t>
  </si>
  <si>
    <t>0,639**</t>
  </si>
  <si>
    <t>0,786**</t>
  </si>
  <si>
    <t>0,336**</t>
  </si>
  <si>
    <t>0,265**</t>
  </si>
  <si>
    <t>0,203**</t>
  </si>
  <si>
    <t>0,181**</t>
  </si>
  <si>
    <t>0,277**</t>
  </si>
  <si>
    <t>0,258**</t>
  </si>
  <si>
    <t>0,414**</t>
  </si>
  <si>
    <t>0,186**</t>
  </si>
  <si>
    <t>0,191**</t>
  </si>
  <si>
    <t>0,571**</t>
  </si>
  <si>
    <t>0,634**</t>
  </si>
  <si>
    <t>0,437**</t>
  </si>
  <si>
    <t>0,303**</t>
  </si>
  <si>
    <t>0,139*</t>
  </si>
  <si>
    <t>0,317**</t>
  </si>
  <si>
    <t>0,207**</t>
  </si>
  <si>
    <t>0,301**</t>
  </si>
  <si>
    <t>0,399**</t>
  </si>
  <si>
    <t>0,155*</t>
  </si>
  <si>
    <t>0,173*</t>
  </si>
  <si>
    <t>0,555**</t>
  </si>
  <si>
    <t>0,657**</t>
  </si>
  <si>
    <t>0,199**</t>
  </si>
  <si>
    <t>0,156*</t>
  </si>
  <si>
    <t>0,138*</t>
  </si>
  <si>
    <t>0,329**</t>
  </si>
  <si>
    <t>0,397**</t>
  </si>
  <si>
    <t>0,308**</t>
  </si>
  <si>
    <t>0,242**</t>
  </si>
  <si>
    <t>0,332**</t>
  </si>
  <si>
    <t>0,649**</t>
  </si>
  <si>
    <t>0,411**</t>
  </si>
  <si>
    <t>0,274**</t>
  </si>
  <si>
    <t>0,209**</t>
  </si>
  <si>
    <t>0,491**</t>
  </si>
  <si>
    <t>0,335**</t>
  </si>
  <si>
    <t>0,384**</t>
  </si>
  <si>
    <t>0,292**</t>
  </si>
  <si>
    <t>0,162*</t>
  </si>
  <si>
    <t>0,423**</t>
  </si>
  <si>
    <t>0,464**</t>
  </si>
  <si>
    <t>0,434**</t>
  </si>
  <si>
    <t>0,295**</t>
  </si>
  <si>
    <t>0,347**</t>
  </si>
  <si>
    <t>0,333**</t>
  </si>
  <si>
    <t>0,446**</t>
  </si>
  <si>
    <t>0,425**</t>
  </si>
  <si>
    <t>0,328**</t>
  </si>
  <si>
    <t>0,374**</t>
  </si>
  <si>
    <t>0,392**</t>
  </si>
  <si>
    <t>0,476**</t>
  </si>
  <si>
    <t>0,623**</t>
  </si>
  <si>
    <t>0,497**</t>
  </si>
  <si>
    <t>0,179**</t>
  </si>
  <si>
    <t>0,300**</t>
  </si>
  <si>
    <t>0,679**</t>
  </si>
  <si>
    <t>0,219**</t>
  </si>
  <si>
    <t>0,514**</t>
  </si>
  <si>
    <t>0,369**</t>
  </si>
  <si>
    <t>0,469**</t>
  </si>
  <si>
    <t>0,567**</t>
  </si>
  <si>
    <t>0,710**</t>
  </si>
  <si>
    <t>0,312**</t>
  </si>
  <si>
    <t>0,609**</t>
  </si>
  <si>
    <t>0,279**</t>
  </si>
  <si>
    <t>0,546**</t>
  </si>
  <si>
    <t>0,538**</t>
  </si>
  <si>
    <t>0,596**</t>
  </si>
  <si>
    <t>0,350**</t>
  </si>
  <si>
    <t>0,314**</t>
  </si>
  <si>
    <t>0,163*</t>
  </si>
  <si>
    <t>0,791**</t>
  </si>
  <si>
    <t>0,320**</t>
  </si>
  <si>
    <t>0,288**</t>
  </si>
  <si>
    <t>0,494**</t>
  </si>
  <si>
    <t>0,325**</t>
  </si>
  <si>
    <t>0,345**</t>
  </si>
  <si>
    <t>0,343**</t>
  </si>
  <si>
    <t>0,477**</t>
  </si>
  <si>
    <t>0,271**</t>
  </si>
  <si>
    <t>0,563**</t>
  </si>
  <si>
    <t>0,351**</t>
  </si>
  <si>
    <t>0,386**</t>
  </si>
  <si>
    <t>0,315**</t>
  </si>
  <si>
    <t>0,396**</t>
  </si>
  <si>
    <t>0,478**</t>
  </si>
  <si>
    <t>0,454**</t>
  </si>
  <si>
    <t>0,391**</t>
  </si>
  <si>
    <t>0,479**</t>
  </si>
  <si>
    <t>0,427**</t>
  </si>
  <si>
    <t>0,597**</t>
  </si>
  <si>
    <t>0,842**</t>
  </si>
  <si>
    <t>0,408**</t>
  </si>
  <si>
    <t>0,291**</t>
  </si>
  <si>
    <t>0,228**</t>
  </si>
  <si>
    <t>0,620**</t>
  </si>
  <si>
    <t>0,452**</t>
  </si>
  <si>
    <t>0,505**</t>
  </si>
  <si>
    <t>0,143*</t>
  </si>
  <si>
    <t>0,455**</t>
  </si>
  <si>
    <t>0,159*</t>
  </si>
  <si>
    <t>0,553**</t>
  </si>
  <si>
    <t>0,184**</t>
  </si>
  <si>
    <t>0,466**</t>
  </si>
  <si>
    <t>0,442**</t>
  </si>
  <si>
    <t>0,202**</t>
  </si>
  <si>
    <t>0,154*</t>
  </si>
  <si>
    <t>0,495**</t>
  </si>
  <si>
    <t>0,503**</t>
  </si>
  <si>
    <t>0,323**</t>
  </si>
  <si>
    <t>0,269**</t>
  </si>
  <si>
    <t>0,372**</t>
  </si>
  <si>
    <t>0,541**</t>
  </si>
  <si>
    <t>0,556**</t>
  </si>
  <si>
    <t>0,302**</t>
  </si>
  <si>
    <t>0,190**</t>
  </si>
  <si>
    <t>0,213**</t>
  </si>
  <si>
    <t>0,294**</t>
  </si>
  <si>
    <t>0,512**</t>
  </si>
  <si>
    <t>0,185**</t>
  </si>
  <si>
    <t>0,691**</t>
  </si>
  <si>
    <t>0,545**</t>
  </si>
  <si>
    <t>0,557**</t>
  </si>
  <si>
    <t>0,217**</t>
  </si>
  <si>
    <t>0,195**</t>
  </si>
  <si>
    <t>0,651**</t>
  </si>
  <si>
    <t>0,309**</t>
  </si>
  <si>
    <t>0,387**</t>
  </si>
  <si>
    <t>0,285**</t>
  </si>
  <si>
    <t>0,400**</t>
  </si>
  <si>
    <t>0,642**</t>
  </si>
  <si>
    <t>0,243**</t>
  </si>
  <si>
    <t>0,465**</t>
  </si>
  <si>
    <t>0,373**</t>
  </si>
  <si>
    <t>0,433**</t>
  </si>
  <si>
    <t>0,260**</t>
  </si>
  <si>
    <t>0,360**</t>
  </si>
  <si>
    <t>0,848**</t>
  </si>
  <si>
    <t>0,364**</t>
  </si>
  <si>
    <t>0,290**</t>
  </si>
  <si>
    <t>0,417**</t>
  </si>
  <si>
    <t>0,393**</t>
  </si>
  <si>
    <t>0,468**</t>
  </si>
  <si>
    <t>0,240**</t>
  </si>
  <si>
    <t>0,458**</t>
  </si>
  <si>
    <t>0,327**</t>
  </si>
  <si>
    <t>0,278**</t>
  </si>
  <si>
    <t>0,380**</t>
  </si>
  <si>
    <t>0,390**</t>
  </si>
  <si>
    <t>0,593**</t>
  </si>
  <si>
    <t>0,198**</t>
  </si>
  <si>
    <t>0,289**</t>
  </si>
  <si>
    <t>0,409**</t>
  </si>
  <si>
    <t>0,451**</t>
  </si>
  <si>
    <t>0,204**</t>
  </si>
  <si>
    <t>0,165*</t>
  </si>
  <si>
    <t>0,502**</t>
  </si>
  <si>
    <t>0,356**</t>
  </si>
  <si>
    <t>0,264**</t>
  </si>
  <si>
    <t>0,632**</t>
  </si>
  <si>
    <t>0,401**</t>
  </si>
  <si>
    <t>0,378**</t>
  </si>
  <si>
    <t>0,366**</t>
  </si>
  <si>
    <t>0,490**</t>
  </si>
  <si>
    <t>0,211**</t>
  </si>
  <si>
    <t>0,398**</t>
  </si>
  <si>
    <t>0,462**</t>
  </si>
  <si>
    <t>0,178**</t>
  </si>
  <si>
    <t>0,493**</t>
  </si>
  <si>
    <t>0,429**</t>
  </si>
  <si>
    <t>0,508**</t>
  </si>
  <si>
    <t>0,940**</t>
  </si>
  <si>
    <t>0,510**</t>
  </si>
  <si>
    <t>0,220**</t>
  </si>
  <si>
    <t>0,643**</t>
  </si>
  <si>
    <t>0,284**</t>
  </si>
  <si>
    <t>0,402**</t>
  </si>
  <si>
    <t>0,456**</t>
  </si>
  <si>
    <t>0,428**</t>
  </si>
  <si>
    <t>0,592**</t>
  </si>
  <si>
    <t>0,640**</t>
  </si>
  <si>
    <t>0,717**</t>
  </si>
  <si>
    <t>0,587**</t>
  </si>
  <si>
    <t>0,676**</t>
  </si>
  <si>
    <t>0,777**</t>
  </si>
  <si>
    <t>0,675**</t>
  </si>
  <si>
    <t>0,554**</t>
  </si>
  <si>
    <t>0,509**</t>
  </si>
  <si>
    <t>0,709**</t>
  </si>
  <si>
    <t>0,635**</t>
  </si>
  <si>
    <t>0,723**</t>
  </si>
  <si>
    <t>0,700**</t>
  </si>
  <si>
    <t>0,310**</t>
  </si>
  <si>
    <t>0,293**</t>
  </si>
  <si>
    <t>0,224**</t>
  </si>
  <si>
    <t>0,375**</t>
  </si>
  <si>
    <t>0,459**</t>
  </si>
  <si>
    <t>0,145*</t>
  </si>
  <si>
    <t>0,200**</t>
  </si>
  <si>
    <t>0,183**</t>
  </si>
  <si>
    <t>0,234**</t>
  </si>
  <si>
    <t>0,270**</t>
  </si>
  <si>
    <t>0,239**</t>
  </si>
  <si>
    <t>0,394**</t>
  </si>
  <si>
    <t>0,164*</t>
  </si>
  <si>
    <t>0,175**</t>
  </si>
  <si>
    <t>0,259**</t>
  </si>
  <si>
    <t>0,481**</t>
  </si>
  <si>
    <t>0,167*</t>
  </si>
  <si>
    <t>0,311**</t>
  </si>
  <si>
    <t>0,341**</t>
  </si>
  <si>
    <t>0,784**</t>
  </si>
  <si>
    <t>0,253**</t>
  </si>
  <si>
    <t>0,214**</t>
  </si>
  <si>
    <t>0,450**</t>
  </si>
  <si>
    <t>0,337**</t>
  </si>
  <si>
    <t>0,223**</t>
  </si>
  <si>
    <t>0,168*</t>
  </si>
  <si>
    <t>0,281**</t>
  </si>
  <si>
    <t>0,218**</t>
  </si>
  <si>
    <t>0,256**</t>
  </si>
  <si>
    <t>0,283**</t>
  </si>
  <si>
    <t>0,272**</t>
  </si>
  <si>
    <t>0,254**</t>
  </si>
  <si>
    <t>0,237**</t>
  </si>
  <si>
    <t>0,457**</t>
  </si>
  <si>
    <t>0,141*</t>
  </si>
  <si>
    <t>0,166*</t>
  </si>
  <si>
    <t>0,361**</t>
  </si>
  <si>
    <t>0,371**</t>
  </si>
  <si>
    <t>0,287**</t>
  </si>
  <si>
    <t>0,137*</t>
  </si>
  <si>
    <t>0,205**</t>
  </si>
  <si>
    <t>0,245**</t>
  </si>
  <si>
    <t>0,304**</t>
  </si>
  <si>
    <t>0,431**</t>
  </si>
  <si>
    <t>0,472**</t>
  </si>
  <si>
    <t>0,246**</t>
  </si>
  <si>
    <t>0,286**</t>
  </si>
  <si>
    <t>0,352**</t>
  </si>
  <si>
    <t>0,266**</t>
  </si>
  <si>
    <t>0,695**</t>
  </si>
  <si>
    <t>0,460**</t>
  </si>
  <si>
    <t>0,443**</t>
  </si>
  <si>
    <t>0,340**</t>
  </si>
  <si>
    <t>0,276**</t>
  </si>
  <si>
    <t>0,680**</t>
  </si>
  <si>
    <t>0,249**</t>
  </si>
  <si>
    <t>0,152*</t>
  </si>
  <si>
    <t>0,208**</t>
  </si>
  <si>
    <t>0,338**</t>
  </si>
  <si>
    <t>0,201**</t>
  </si>
  <si>
    <t>0,407**</t>
  </si>
  <si>
    <t>0,742**</t>
  </si>
  <si>
    <t>0,403**</t>
  </si>
  <si>
    <t>0,445**</t>
  </si>
  <si>
    <t>0,353**</t>
  </si>
  <si>
    <t>0,594**</t>
  </si>
  <si>
    <t>0,483**</t>
  </si>
  <si>
    <t>0,641**</t>
  </si>
  <si>
    <t>0,484**</t>
  </si>
  <si>
    <t>0,580**</t>
  </si>
  <si>
    <t>0,585**</t>
  </si>
  <si>
    <t>0,551**</t>
  </si>
  <si>
    <t>0,601**</t>
  </si>
  <si>
    <t>0,627**</t>
  </si>
  <si>
    <t>0,704**</t>
  </si>
  <si>
    <t>0,652**</t>
  </si>
  <si>
    <t>0,579**</t>
  </si>
  <si>
    <t>0,453**</t>
  </si>
  <si>
    <t>0,379**</t>
  </si>
  <si>
    <t>0,267**</t>
  </si>
  <si>
    <t>0,236**</t>
  </si>
  <si>
    <t>0,370**</t>
  </si>
  <si>
    <t>0,614**</t>
  </si>
  <si>
    <t>0,947**</t>
  </si>
  <si>
    <t>0,175*</t>
  </si>
  <si>
    <t>0,342**</t>
  </si>
  <si>
    <t>0,192**</t>
  </si>
  <si>
    <t>0,282**</t>
  </si>
  <si>
    <t>0,189**</t>
  </si>
  <si>
    <t>0,149*</t>
  </si>
  <si>
    <t>0,506**</t>
  </si>
  <si>
    <t>0,170*</t>
  </si>
  <si>
    <t>0,230**</t>
  </si>
  <si>
    <t>0,355**</t>
  </si>
  <si>
    <t>0,520**</t>
  </si>
  <si>
    <t>0,206**</t>
  </si>
  <si>
    <t>0,151*</t>
  </si>
  <si>
    <t>0,346**</t>
  </si>
  <si>
    <t>0,324**</t>
  </si>
  <si>
    <t>0,160*</t>
  </si>
  <si>
    <t>0,257**</t>
  </si>
  <si>
    <t>0,306**</t>
  </si>
  <si>
    <t>0,140*</t>
  </si>
  <si>
    <t>0,354**</t>
  </si>
  <si>
    <t>0,511**</t>
  </si>
  <si>
    <t>0,298**</t>
  </si>
  <si>
    <t>0,247**</t>
  </si>
  <si>
    <t>0,321**</t>
  </si>
  <si>
    <t>0,572**</t>
  </si>
  <si>
    <t>0,500**</t>
  </si>
  <si>
    <t>0,182**</t>
  </si>
  <si>
    <t>0,485**</t>
  </si>
  <si>
    <t>0,513**</t>
  </si>
  <si>
    <t>0,430**</t>
  </si>
  <si>
    <t>0,517**</t>
  </si>
  <si>
    <t>0,344**</t>
  </si>
  <si>
    <t>0,177**</t>
  </si>
  <si>
    <t>0,210**</t>
  </si>
  <si>
    <t>0,150*</t>
  </si>
  <si>
    <t>0,221**</t>
  </si>
  <si>
    <t>0,383**</t>
  </si>
  <si>
    <t>0,552**</t>
  </si>
  <si>
    <t>0,229**</t>
  </si>
  <si>
    <t>0,222**</t>
  </si>
  <si>
    <t>0,252**</t>
  </si>
  <si>
    <t>0,376**</t>
  </si>
  <si>
    <t>0,608**</t>
  </si>
  <si>
    <t>0,449**</t>
  </si>
  <si>
    <t>0,377**</t>
  </si>
  <si>
    <t>0,697**</t>
  </si>
  <si>
    <t>0,174*</t>
  </si>
  <si>
    <t>0,231**</t>
  </si>
  <si>
    <t>0,605**</t>
  </si>
  <si>
    <t>0,603**</t>
  </si>
  <si>
    <t>0,147*</t>
  </si>
  <si>
    <t>0,297**</t>
  </si>
  <si>
    <t>0,268**</t>
  </si>
  <si>
    <t>0,233**</t>
  </si>
  <si>
    <t>0,232**</t>
  </si>
  <si>
    <t>0,463**</t>
  </si>
  <si>
    <t>0,158*</t>
  </si>
  <si>
    <t>0,235**</t>
  </si>
  <si>
    <t>0,362**</t>
  </si>
  <si>
    <t>0,280**</t>
  </si>
  <si>
    <t>0,529**</t>
  </si>
  <si>
    <t>0,619**</t>
  </si>
  <si>
    <t>0,559**</t>
  </si>
  <si>
    <t>0,575**</t>
  </si>
  <si>
    <t>0,573**</t>
  </si>
  <si>
    <t>0,628**</t>
  </si>
  <si>
    <t>0,540**</t>
  </si>
  <si>
    <t>0,550**</t>
  </si>
  <si>
    <t>0,359**</t>
  </si>
  <si>
    <t>0,582**</t>
  </si>
  <si>
    <t>0,238**</t>
  </si>
  <si>
    <t>0,275**</t>
  </si>
  <si>
    <t>0,153*</t>
  </si>
  <si>
    <t>0,194**</t>
  </si>
  <si>
    <t>0,180**</t>
  </si>
  <si>
    <t>0,135*</t>
  </si>
  <si>
    <t>0,171*</t>
  </si>
  <si>
    <t>0,316**</t>
  </si>
  <si>
    <t>0,368**</t>
  </si>
  <si>
    <t>0,330**</t>
  </si>
  <si>
    <t>0,136*</t>
  </si>
  <si>
    <t>0,215**</t>
  </si>
  <si>
    <t>0,422**</t>
  </si>
  <si>
    <t>0,805**</t>
  </si>
  <si>
    <t>0,956**</t>
  </si>
  <si>
    <t>0,850**</t>
  </si>
  <si>
    <t>0,169*</t>
  </si>
  <si>
    <t>0,144*</t>
  </si>
  <si>
    <t>0,470**</t>
  </si>
  <si>
    <t>0,319**</t>
  </si>
  <si>
    <t>0,826**</t>
  </si>
  <si>
    <t>0,363**</t>
  </si>
  <si>
    <t>0,357**</t>
  </si>
  <si>
    <t>0,930**</t>
  </si>
  <si>
    <t>0,388**</t>
  </si>
  <si>
    <t>0,630**</t>
  </si>
  <si>
    <t>0,664**</t>
  </si>
  <si>
    <t>0,662**</t>
  </si>
  <si>
    <t>0,473**</t>
  </si>
  <si>
    <t>0,134*</t>
  </si>
  <si>
    <t>0,488**</t>
  </si>
  <si>
    <t>0,568**</t>
  </si>
  <si>
    <t>0,410**</t>
  </si>
  <si>
    <t>0,534**</t>
  </si>
  <si>
    <t>0,530**</t>
  </si>
  <si>
    <t>0,762**</t>
  </si>
  <si>
    <t>0,637**</t>
  </si>
  <si>
    <t>0,942**</t>
  </si>
  <si>
    <t>0,480**</t>
  </si>
  <si>
    <t>0,714**</t>
  </si>
  <si>
    <t>0,525**</t>
  </si>
  <si>
    <t>Valid</t>
  </si>
  <si>
    <t>Reliability Statistics</t>
  </si>
  <si>
    <t>Cronbach's Alpha</t>
  </si>
  <si>
    <t>N of Items</t>
  </si>
  <si>
    <t>Variabel</t>
  </si>
  <si>
    <t>Tata Kelola Anggaran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</si>
</sst>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###0"/>
    <numFmt numFmtId="169" formatCode="###0.000"/>
    <numFmt numFmtId="170" formatCode="0.0000E+0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60"/>
      <name val="Arial Bold"/>
    </font>
    <font>
      <sz val="9"/>
      <color indexed="62"/>
      <name val="Arial"/>
      <family val="2"/>
    </font>
    <font>
      <sz val="9"/>
      <color indexed="60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1"/>
      </bottom>
      <diagonal/>
    </border>
    <border>
      <left/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/>
      <top/>
      <bottom style="thin">
        <color indexed="61"/>
      </bottom>
      <diagonal/>
    </border>
    <border>
      <left/>
      <right/>
      <top style="thin">
        <color indexed="61"/>
      </top>
      <bottom/>
      <diagonal/>
    </border>
    <border>
      <left/>
      <right/>
      <top style="thin">
        <color indexed="61"/>
      </top>
      <bottom style="thin">
        <color indexed="22"/>
      </bottom>
      <diagonal/>
    </border>
    <border>
      <left/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/>
      <top style="thin">
        <color indexed="61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 style="thin">
        <color indexed="63"/>
      </right>
      <top style="thin">
        <color indexed="22"/>
      </top>
      <bottom/>
      <diagonal/>
    </border>
    <border>
      <left style="thin">
        <color indexed="63"/>
      </left>
      <right style="thin">
        <color indexed="63"/>
      </right>
      <top style="thin">
        <color indexed="22"/>
      </top>
      <bottom/>
      <diagonal/>
    </border>
    <border>
      <left style="thin">
        <color indexed="63"/>
      </left>
      <right/>
      <top style="thin">
        <color indexed="22"/>
      </top>
      <bottom/>
      <diagonal/>
    </border>
    <border>
      <left/>
      <right/>
      <top style="thin">
        <color indexed="22"/>
      </top>
      <bottom style="thin">
        <color indexed="61"/>
      </bottom>
      <diagonal/>
    </border>
    <border>
      <left/>
      <right style="thin">
        <color indexed="63"/>
      </right>
      <top style="thin">
        <color indexed="22"/>
      </top>
      <bottom style="thin">
        <color indexed="61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61"/>
      </bottom>
      <diagonal/>
    </border>
    <border>
      <left style="thin">
        <color indexed="63"/>
      </left>
      <right/>
      <top style="thin">
        <color indexed="22"/>
      </top>
      <bottom style="thin">
        <color indexed="6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3"/>
      </right>
      <top style="thin">
        <color indexed="61"/>
      </top>
      <bottom style="thin">
        <color indexed="61"/>
      </bottom>
      <diagonal/>
    </border>
    <border>
      <left style="thin">
        <color indexed="63"/>
      </left>
      <right/>
      <top style="thin">
        <color indexed="61"/>
      </top>
      <bottom style="thin">
        <color indexed="6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9">
    <xf numFmtId="0" fontId="0" fillId="0" borderId="0" xfId="0"/>
    <xf numFmtId="0" fontId="2" fillId="0" borderId="0" xfId="1" applyFont="1" applyBorder="1" applyAlignment="1">
      <alignment horizontal="center" vertical="center" wrapText="1"/>
    </xf>
    <xf numFmtId="0" fontId="1" fillId="0" borderId="0" xfId="1"/>
    <xf numFmtId="0" fontId="3" fillId="0" borderId="1" xfId="1" applyFont="1" applyBorder="1" applyAlignment="1">
      <alignment horizontal="left" wrapText="1"/>
    </xf>
    <xf numFmtId="0" fontId="3" fillId="0" borderId="2" xfId="1" applyFont="1" applyBorder="1" applyAlignment="1">
      <alignment horizontal="center" wrapText="1"/>
    </xf>
    <xf numFmtId="0" fontId="3" fillId="0" borderId="3" xfId="1" applyFont="1" applyBorder="1" applyAlignment="1">
      <alignment horizontal="center" wrapText="1"/>
    </xf>
    <xf numFmtId="0" fontId="3" fillId="0" borderId="4" xfId="1" applyFont="1" applyBorder="1" applyAlignment="1">
      <alignment horizontal="center" wrapText="1"/>
    </xf>
    <xf numFmtId="0" fontId="3" fillId="2" borderId="5" xfId="1" applyFont="1" applyFill="1" applyBorder="1" applyAlignment="1">
      <alignment horizontal="left" vertical="top" wrapText="1"/>
    </xf>
    <xf numFmtId="0" fontId="3" fillId="2" borderId="6" xfId="1" applyFont="1" applyFill="1" applyBorder="1" applyAlignment="1">
      <alignment horizontal="left" vertical="top" wrapText="1"/>
    </xf>
    <xf numFmtId="168" fontId="4" fillId="0" borderId="7" xfId="1" applyNumberFormat="1" applyFont="1" applyBorder="1" applyAlignment="1">
      <alignment horizontal="right" vertical="top"/>
    </xf>
    <xf numFmtId="0" fontId="4" fillId="0" borderId="8" xfId="1" applyFont="1" applyBorder="1" applyAlignment="1">
      <alignment horizontal="right" vertical="top"/>
    </xf>
    <xf numFmtId="169" fontId="4" fillId="0" borderId="8" xfId="1" applyNumberFormat="1" applyFont="1" applyBorder="1" applyAlignment="1">
      <alignment horizontal="right" vertical="top"/>
    </xf>
    <xf numFmtId="0" fontId="4" fillId="0" borderId="9" xfId="1" applyFont="1" applyBorder="1" applyAlignment="1">
      <alignment horizontal="right" vertical="top"/>
    </xf>
    <xf numFmtId="0" fontId="3" fillId="2" borderId="10" xfId="1" applyFont="1" applyFill="1" applyBorder="1" applyAlignment="1">
      <alignment horizontal="left" vertical="top" wrapText="1"/>
    </xf>
    <xf numFmtId="0" fontId="3" fillId="2" borderId="10" xfId="1" applyFont="1" applyFill="1" applyBorder="1" applyAlignment="1">
      <alignment horizontal="left" vertical="top" wrapText="1"/>
    </xf>
    <xf numFmtId="0" fontId="4" fillId="0" borderId="11" xfId="1" applyFont="1" applyBorder="1" applyAlignment="1">
      <alignment horizontal="left" vertical="top" wrapText="1"/>
    </xf>
    <xf numFmtId="169" fontId="4" fillId="0" borderId="12" xfId="1" applyNumberFormat="1" applyFont="1" applyBorder="1" applyAlignment="1">
      <alignment horizontal="right" vertical="top"/>
    </xf>
    <xf numFmtId="169" fontId="4" fillId="0" borderId="13" xfId="1" applyNumberFormat="1" applyFont="1" applyBorder="1" applyAlignment="1">
      <alignment horizontal="right" vertical="top"/>
    </xf>
    <xf numFmtId="0" fontId="3" fillId="2" borderId="14" xfId="1" applyFont="1" applyFill="1" applyBorder="1" applyAlignment="1">
      <alignment horizontal="left" vertical="top" wrapText="1"/>
    </xf>
    <xf numFmtId="0" fontId="3" fillId="2" borderId="14" xfId="1" applyFont="1" applyFill="1" applyBorder="1" applyAlignment="1">
      <alignment horizontal="left" vertical="top" wrapText="1"/>
    </xf>
    <xf numFmtId="168" fontId="4" fillId="0" borderId="15" xfId="1" applyNumberFormat="1" applyFont="1" applyBorder="1" applyAlignment="1">
      <alignment horizontal="right" vertical="top"/>
    </xf>
    <xf numFmtId="168" fontId="4" fillId="0" borderId="16" xfId="1" applyNumberFormat="1" applyFont="1" applyBorder="1" applyAlignment="1">
      <alignment horizontal="right" vertical="top"/>
    </xf>
    <xf numFmtId="168" fontId="4" fillId="0" borderId="17" xfId="1" applyNumberFormat="1" applyFont="1" applyBorder="1" applyAlignment="1">
      <alignment horizontal="right" vertical="top"/>
    </xf>
    <xf numFmtId="0" fontId="4" fillId="0" borderId="11" xfId="1" applyFont="1" applyBorder="1" applyAlignment="1">
      <alignment horizontal="right" vertical="top"/>
    </xf>
    <xf numFmtId="168" fontId="4" fillId="0" borderId="12" xfId="1" applyNumberFormat="1" applyFont="1" applyBorder="1" applyAlignment="1">
      <alignment horizontal="right" vertical="top"/>
    </xf>
    <xf numFmtId="0" fontId="4" fillId="0" borderId="12" xfId="1" applyFont="1" applyBorder="1" applyAlignment="1">
      <alignment horizontal="right" vertical="top"/>
    </xf>
    <xf numFmtId="0" fontId="4" fillId="0" borderId="13" xfId="1" applyFont="1" applyBorder="1" applyAlignment="1">
      <alignment horizontal="right" vertical="top"/>
    </xf>
    <xf numFmtId="169" fontId="4" fillId="0" borderId="11" xfId="1" applyNumberFormat="1" applyFont="1" applyBorder="1" applyAlignment="1">
      <alignment horizontal="right" vertical="top"/>
    </xf>
    <xf numFmtId="0" fontId="4" fillId="0" borderId="12" xfId="1" applyFont="1" applyBorder="1" applyAlignment="1">
      <alignment horizontal="left" vertical="top" wrapText="1"/>
    </xf>
    <xf numFmtId="168" fontId="4" fillId="0" borderId="13" xfId="1" applyNumberFormat="1" applyFont="1" applyBorder="1" applyAlignment="1">
      <alignment horizontal="right" vertical="top"/>
    </xf>
    <xf numFmtId="0" fontId="4" fillId="0" borderId="13" xfId="1" applyFont="1" applyBorder="1" applyAlignment="1">
      <alignment horizontal="left" vertical="top" wrapText="1"/>
    </xf>
    <xf numFmtId="0" fontId="3" fillId="2" borderId="18" xfId="1" applyFont="1" applyFill="1" applyBorder="1" applyAlignment="1">
      <alignment horizontal="left" vertical="top" wrapText="1"/>
    </xf>
    <xf numFmtId="0" fontId="3" fillId="2" borderId="18" xfId="1" applyFont="1" applyFill="1" applyBorder="1" applyAlignment="1">
      <alignment horizontal="left" vertical="top" wrapText="1"/>
    </xf>
    <xf numFmtId="168" fontId="4" fillId="0" borderId="19" xfId="1" applyNumberFormat="1" applyFont="1" applyBorder="1" applyAlignment="1">
      <alignment horizontal="right" vertical="top"/>
    </xf>
    <xf numFmtId="168" fontId="4" fillId="0" borderId="20" xfId="1" applyNumberFormat="1" applyFont="1" applyBorder="1" applyAlignment="1">
      <alignment horizontal="right" vertical="top"/>
    </xf>
    <xf numFmtId="168" fontId="4" fillId="0" borderId="21" xfId="1" applyNumberFormat="1" applyFont="1" applyBorder="1" applyAlignment="1">
      <alignment horizontal="right" vertical="top"/>
    </xf>
    <xf numFmtId="0" fontId="4" fillId="0" borderId="0" xfId="1" applyFont="1" applyBorder="1" applyAlignment="1">
      <alignment horizontal="left" vertical="top" wrapText="1"/>
    </xf>
    <xf numFmtId="0" fontId="1" fillId="0" borderId="22" xfId="1" applyBorder="1"/>
    <xf numFmtId="0" fontId="1" fillId="0" borderId="22" xfId="1" applyBorder="1" applyAlignment="1">
      <alignment horizontal="center" vertical="center"/>
    </xf>
    <xf numFmtId="170" fontId="1" fillId="0" borderId="22" xfId="1" applyNumberFormat="1" applyBorder="1"/>
    <xf numFmtId="0" fontId="2" fillId="0" borderId="0" xfId="2" applyFont="1" applyBorder="1" applyAlignment="1">
      <alignment horizontal="center" vertical="center" wrapText="1"/>
    </xf>
    <xf numFmtId="0" fontId="1" fillId="0" borderId="0" xfId="2"/>
    <xf numFmtId="0" fontId="3" fillId="0" borderId="2" xfId="2" applyFont="1" applyBorder="1" applyAlignment="1">
      <alignment horizontal="center" wrapText="1"/>
    </xf>
    <xf numFmtId="0" fontId="3" fillId="0" borderId="4" xfId="2" applyFont="1" applyBorder="1" applyAlignment="1">
      <alignment horizontal="center" wrapText="1"/>
    </xf>
    <xf numFmtId="169" fontId="4" fillId="0" borderId="23" xfId="2" applyNumberFormat="1" applyFont="1" applyBorder="1" applyAlignment="1">
      <alignment horizontal="right" vertical="top"/>
    </xf>
    <xf numFmtId="168" fontId="4" fillId="0" borderId="24" xfId="2" applyNumberFormat="1" applyFont="1" applyBorder="1" applyAlignment="1">
      <alignment horizontal="right" vertical="top"/>
    </xf>
    <xf numFmtId="0" fontId="5" fillId="0" borderId="2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/>
  </cellXfs>
  <cellStyles count="3">
    <cellStyle name="Normal" xfId="0" builtinId="0"/>
    <cellStyle name="Normal_Reliabilitas" xfId="2" xr:uid="{4DC5B2A8-E13B-421D-A8E2-4541684B1B6F}"/>
    <cellStyle name="Normal_Validitas" xfId="1" xr:uid="{8B393B33-2984-4488-AC8A-5F4FA3C3F5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6A498-46DB-41EB-A8E4-17F85FD23EE8}">
  <dimension ref="A1:AG395"/>
  <sheetViews>
    <sheetView topLeftCell="A110" workbookViewId="0">
      <selection activeCell="AD315" sqref="AD315:AG340"/>
    </sheetView>
  </sheetViews>
  <sheetFormatPr defaultRowHeight="14.5" x14ac:dyDescent="0.35"/>
  <cols>
    <col min="1" max="1" width="8.6328125" bestFit="1" customWidth="1"/>
    <col min="2" max="2" width="7.90625" bestFit="1" customWidth="1"/>
    <col min="3" max="19" width="6.1796875" bestFit="1" customWidth="1"/>
    <col min="20" max="21" width="8.6328125" bestFit="1" customWidth="1"/>
    <col min="22" max="22" width="8.26953125" bestFit="1" customWidth="1"/>
    <col min="23" max="26" width="14.54296875" bestFit="1" customWidth="1"/>
    <col min="27" max="27" width="10.1796875" bestFit="1" customWidth="1"/>
    <col min="28" max="28" width="10" bestFit="1" customWidth="1"/>
    <col min="30" max="30" width="7.7265625" bestFit="1" customWidth="1"/>
    <col min="31" max="31" width="14.54296875" bestFit="1" customWidth="1"/>
    <col min="32" max="32" width="10.1796875" bestFit="1" customWidth="1"/>
    <col min="33" max="33" width="10" bestFit="1" customWidth="1"/>
  </cols>
  <sheetData>
    <row r="1" spans="1:29" x14ac:dyDescent="0.35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/>
      <c r="V1" s="2"/>
      <c r="W1" s="2"/>
      <c r="X1" s="2"/>
      <c r="Y1" s="2"/>
      <c r="Z1" s="2"/>
      <c r="AA1" s="2"/>
      <c r="AB1" s="2"/>
      <c r="AC1" s="2"/>
    </row>
    <row r="2" spans="1:29" ht="24" x14ac:dyDescent="0.35">
      <c r="A2" s="3" t="s">
        <v>1</v>
      </c>
      <c r="B2" s="3"/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6" t="s">
        <v>20</v>
      </c>
      <c r="U2" s="2"/>
      <c r="V2" s="2"/>
      <c r="W2" s="38" t="s">
        <v>0</v>
      </c>
      <c r="X2" s="38" t="s">
        <v>130</v>
      </c>
      <c r="Y2" s="38" t="s">
        <v>131</v>
      </c>
      <c r="Z2" s="38" t="s">
        <v>132</v>
      </c>
      <c r="AA2" s="2"/>
      <c r="AB2" s="2"/>
      <c r="AC2" s="2"/>
    </row>
    <row r="3" spans="1:29" ht="34.5" x14ac:dyDescent="0.35">
      <c r="A3" s="7" t="s">
        <v>3</v>
      </c>
      <c r="B3" s="8" t="s">
        <v>21</v>
      </c>
      <c r="C3" s="9">
        <v>1</v>
      </c>
      <c r="D3" s="10" t="s">
        <v>133</v>
      </c>
      <c r="E3" s="10" t="s">
        <v>134</v>
      </c>
      <c r="F3" s="10" t="s">
        <v>135</v>
      </c>
      <c r="G3" s="10" t="s">
        <v>136</v>
      </c>
      <c r="H3" s="10" t="s">
        <v>137</v>
      </c>
      <c r="I3" s="10" t="s">
        <v>138</v>
      </c>
      <c r="J3" s="10" t="s">
        <v>139</v>
      </c>
      <c r="K3" s="10" t="s">
        <v>140</v>
      </c>
      <c r="L3" s="10" t="s">
        <v>141</v>
      </c>
      <c r="M3" s="10" t="s">
        <v>142</v>
      </c>
      <c r="N3" s="11">
        <v>0.13225932044965444</v>
      </c>
      <c r="O3" s="10" t="s">
        <v>143</v>
      </c>
      <c r="P3" s="10" t="s">
        <v>144</v>
      </c>
      <c r="Q3" s="10" t="s">
        <v>145</v>
      </c>
      <c r="R3" s="10" t="s">
        <v>146</v>
      </c>
      <c r="S3" s="10" t="s">
        <v>147</v>
      </c>
      <c r="T3" s="12" t="s">
        <v>148</v>
      </c>
      <c r="U3" s="2"/>
      <c r="V3" s="2"/>
      <c r="W3" s="37" t="str" cm="1">
        <f t="array" ref="W3">INDEX(A:A, (ROW()*3)-6)</f>
        <v>BO1</v>
      </c>
      <c r="X3" s="37" t="str" cm="1">
        <f t="array" ref="X3">INDEX(T:T,(ROW(X3)*3)-(ROW($X$3)*2))</f>
        <v>0,646**</v>
      </c>
      <c r="Y3" s="39" cm="1">
        <f t="array" ref="Y3">INDEX(T:T,(ROW(X3)*3)-(ROW($X$3)*2)+1)</f>
        <v>6.614333271255473E-27</v>
      </c>
      <c r="Z3" s="37" t="str">
        <f t="shared" ref="Z3:Z19" si="0">IF(Y3&lt;0.05,"Valid","Tidak Valid")</f>
        <v>Valid</v>
      </c>
      <c r="AA3" s="2"/>
      <c r="AB3" s="2"/>
      <c r="AC3" s="2"/>
    </row>
    <row r="4" spans="1:29" ht="23" x14ac:dyDescent="0.35">
      <c r="A4" s="13"/>
      <c r="B4" s="14" t="s">
        <v>22</v>
      </c>
      <c r="C4" s="15"/>
      <c r="D4" s="16">
        <v>2.2794271186097407E-29</v>
      </c>
      <c r="E4" s="16">
        <v>2.4144202821140564E-15</v>
      </c>
      <c r="F4" s="16">
        <v>6.5637809305902509E-10</v>
      </c>
      <c r="G4" s="16">
        <v>1.4749004837248368E-4</v>
      </c>
      <c r="H4" s="16">
        <v>1.2956457277412441E-6</v>
      </c>
      <c r="I4" s="16">
        <v>1.8096660283035635E-10</v>
      </c>
      <c r="J4" s="16">
        <v>1.0697976122447292E-10</v>
      </c>
      <c r="K4" s="16">
        <v>9.1765649087896252E-5</v>
      </c>
      <c r="L4" s="16">
        <v>4.3720225748888465E-6</v>
      </c>
      <c r="M4" s="16">
        <v>6.4374407138776773E-7</v>
      </c>
      <c r="N4" s="16">
        <v>5.2250551994410054E-2</v>
      </c>
      <c r="O4" s="16">
        <v>2.8841150580180346E-4</v>
      </c>
      <c r="P4" s="16">
        <v>2.2639392686608467E-4</v>
      </c>
      <c r="Q4" s="16">
        <v>3.5566918914384406E-4</v>
      </c>
      <c r="R4" s="16">
        <v>4.3686642561607501E-3</v>
      </c>
      <c r="S4" s="16">
        <v>2.7175639297184258E-8</v>
      </c>
      <c r="T4" s="17">
        <v>6.614333271255473E-27</v>
      </c>
      <c r="U4" s="2"/>
      <c r="V4" s="2"/>
      <c r="W4" s="37" t="str" cm="1">
        <f t="array" ref="W4">INDEX(A:A, (ROW()*3)-6)</f>
        <v>BO2</v>
      </c>
      <c r="X4" s="37" t="str" cm="1">
        <f t="array" ref="X4">INDEX(T:T,(ROW(X4)*3)-(ROW($X$3)*2))</f>
        <v>0,412**</v>
      </c>
      <c r="Y4" s="39" cm="1">
        <f t="array" ref="Y4">INDEX(T:T,(ROW(X4)*3)-(ROW($X$3)*2)+1)</f>
        <v>2.8148744051184013E-10</v>
      </c>
      <c r="Z4" s="37" t="str">
        <f t="shared" si="0"/>
        <v>Valid</v>
      </c>
      <c r="AA4" s="2"/>
      <c r="AB4" s="2"/>
      <c r="AC4" s="2"/>
    </row>
    <row r="5" spans="1:29" x14ac:dyDescent="0.35">
      <c r="A5" s="18"/>
      <c r="B5" s="19" t="s">
        <v>23</v>
      </c>
      <c r="C5" s="20">
        <v>216</v>
      </c>
      <c r="D5" s="21">
        <v>216</v>
      </c>
      <c r="E5" s="21">
        <v>216</v>
      </c>
      <c r="F5" s="21">
        <v>216</v>
      </c>
      <c r="G5" s="21">
        <v>216</v>
      </c>
      <c r="H5" s="21">
        <v>216</v>
      </c>
      <c r="I5" s="21">
        <v>216</v>
      </c>
      <c r="J5" s="21">
        <v>216</v>
      </c>
      <c r="K5" s="21">
        <v>216</v>
      </c>
      <c r="L5" s="21">
        <v>216</v>
      </c>
      <c r="M5" s="21">
        <v>216</v>
      </c>
      <c r="N5" s="21">
        <v>216</v>
      </c>
      <c r="O5" s="21">
        <v>216</v>
      </c>
      <c r="P5" s="21">
        <v>216</v>
      </c>
      <c r="Q5" s="21">
        <v>216</v>
      </c>
      <c r="R5" s="21">
        <v>216</v>
      </c>
      <c r="S5" s="21">
        <v>216</v>
      </c>
      <c r="T5" s="22">
        <v>216</v>
      </c>
      <c r="U5" s="2"/>
      <c r="V5" s="2"/>
      <c r="W5" s="37" t="str" cm="1">
        <f t="array" ref="W5">INDEX(A:A, (ROW()*3)-6)</f>
        <v>BO3</v>
      </c>
      <c r="X5" s="37" t="str" cm="1">
        <f t="array" ref="X5">INDEX(T:T,(ROW(X5)*3)-(ROW($X$3)*2))</f>
        <v>0,581**</v>
      </c>
      <c r="Y5" s="39" cm="1">
        <f t="array" ref="Y5">INDEX(T:T,(ROW(X5)*3)-(ROW($X$3)*2)+1)</f>
        <v>6.2408747745384285E-21</v>
      </c>
      <c r="Z5" s="37" t="str">
        <f t="shared" si="0"/>
        <v>Valid</v>
      </c>
      <c r="AA5" s="2"/>
      <c r="AB5" s="2"/>
      <c r="AC5" s="2"/>
    </row>
    <row r="6" spans="1:29" ht="34.5" x14ac:dyDescent="0.35">
      <c r="A6" s="18" t="s">
        <v>4</v>
      </c>
      <c r="B6" s="14" t="s">
        <v>21</v>
      </c>
      <c r="C6" s="23" t="s">
        <v>133</v>
      </c>
      <c r="D6" s="24">
        <v>1</v>
      </c>
      <c r="E6" s="25" t="s">
        <v>149</v>
      </c>
      <c r="F6" s="25" t="s">
        <v>150</v>
      </c>
      <c r="G6" s="16">
        <v>4.3559604375952889E-2</v>
      </c>
      <c r="H6" s="16">
        <v>0.12651585495336876</v>
      </c>
      <c r="I6" s="25" t="s">
        <v>151</v>
      </c>
      <c r="J6" s="25" t="s">
        <v>152</v>
      </c>
      <c r="K6" s="25" t="s">
        <v>153</v>
      </c>
      <c r="L6" s="25" t="s">
        <v>154</v>
      </c>
      <c r="M6" s="25" t="s">
        <v>155</v>
      </c>
      <c r="N6" s="16">
        <v>4.1873493148753528E-2</v>
      </c>
      <c r="O6" s="16">
        <v>6.1533941924067144E-2</v>
      </c>
      <c r="P6" s="16">
        <v>9.4113248441661121E-2</v>
      </c>
      <c r="Q6" s="16">
        <v>8.227754044694667E-2</v>
      </c>
      <c r="R6" s="16">
        <v>6.8667708623283738E-2</v>
      </c>
      <c r="S6" s="25" t="s">
        <v>156</v>
      </c>
      <c r="T6" s="26" t="s">
        <v>157</v>
      </c>
      <c r="U6" s="2"/>
      <c r="V6" s="2"/>
      <c r="W6" s="37" t="str" cm="1">
        <f t="array" ref="W6">INDEX(A:A, (ROW()*3)-6)</f>
        <v>BO4</v>
      </c>
      <c r="X6" s="37" t="str" cm="1">
        <f t="array" ref="X6">INDEX(T:T,(ROW(X6)*3)-(ROW($X$3)*2))</f>
        <v>0,639**</v>
      </c>
      <c r="Y6" s="39" cm="1">
        <f t="array" ref="Y6">INDEX(T:T,(ROW(X6)*3)-(ROW($X$3)*2)+1)</f>
        <v>3.4695435307394808E-26</v>
      </c>
      <c r="Z6" s="37" t="str">
        <f t="shared" si="0"/>
        <v>Valid</v>
      </c>
      <c r="AA6" s="2"/>
      <c r="AB6" s="2"/>
      <c r="AC6" s="2"/>
    </row>
    <row r="7" spans="1:29" ht="23" x14ac:dyDescent="0.35">
      <c r="A7" s="13"/>
      <c r="B7" s="14" t="s">
        <v>22</v>
      </c>
      <c r="C7" s="27">
        <v>2.2794271186097407E-29</v>
      </c>
      <c r="D7" s="28"/>
      <c r="E7" s="16">
        <v>4.9919132347021519E-7</v>
      </c>
      <c r="F7" s="16">
        <v>1.7351722266646086E-3</v>
      </c>
      <c r="G7" s="16">
        <v>0.52426786621859667</v>
      </c>
      <c r="H7" s="16">
        <v>6.3443347903196695E-2</v>
      </c>
      <c r="I7" s="16">
        <v>1.3957476198223234E-3</v>
      </c>
      <c r="J7" s="16">
        <v>4.8707912755662332E-5</v>
      </c>
      <c r="K7" s="16">
        <v>3.2037025795142969E-2</v>
      </c>
      <c r="L7" s="16">
        <v>9.9951706373810477E-6</v>
      </c>
      <c r="M7" s="16">
        <v>3.6178006785920242E-3</v>
      </c>
      <c r="N7" s="16">
        <v>0.54046513293657583</v>
      </c>
      <c r="O7" s="16">
        <v>0.36813824901304326</v>
      </c>
      <c r="P7" s="16">
        <v>0.16813795433143924</v>
      </c>
      <c r="Q7" s="16">
        <v>0.22849130542643711</v>
      </c>
      <c r="R7" s="16">
        <v>0.31512061038706013</v>
      </c>
      <c r="S7" s="16">
        <v>8.6927453209093995E-4</v>
      </c>
      <c r="T7" s="17">
        <v>2.8148744051184013E-10</v>
      </c>
      <c r="U7" s="2"/>
      <c r="V7" s="2"/>
      <c r="W7" s="37" t="str" cm="1">
        <f t="array" ref="W7">INDEX(A:A, (ROW()*3)-6)</f>
        <v>BO5</v>
      </c>
      <c r="X7" s="37" t="str" cm="1">
        <f t="array" ref="X7">INDEX(T:T,(ROW(X7)*3)-(ROW($X$3)*2))</f>
        <v>0,634**</v>
      </c>
      <c r="Y7" s="39" cm="1">
        <f t="array" ref="Y7">INDEX(T:T,(ROW(X7)*3)-(ROW($X$3)*2)+1)</f>
        <v>1.1922052549109607E-25</v>
      </c>
      <c r="Z7" s="37" t="str">
        <f t="shared" si="0"/>
        <v>Valid</v>
      </c>
      <c r="AA7" s="2"/>
      <c r="AB7" s="2"/>
      <c r="AC7" s="2"/>
    </row>
    <row r="8" spans="1:29" x14ac:dyDescent="0.35">
      <c r="A8" s="18"/>
      <c r="B8" s="19" t="s">
        <v>23</v>
      </c>
      <c r="C8" s="20">
        <v>216</v>
      </c>
      <c r="D8" s="21">
        <v>216</v>
      </c>
      <c r="E8" s="21">
        <v>216</v>
      </c>
      <c r="F8" s="21">
        <v>216</v>
      </c>
      <c r="G8" s="21">
        <v>216</v>
      </c>
      <c r="H8" s="21">
        <v>216</v>
      </c>
      <c r="I8" s="21">
        <v>216</v>
      </c>
      <c r="J8" s="21">
        <v>216</v>
      </c>
      <c r="K8" s="21">
        <v>216</v>
      </c>
      <c r="L8" s="21">
        <v>216</v>
      </c>
      <c r="M8" s="21">
        <v>216</v>
      </c>
      <c r="N8" s="21">
        <v>216</v>
      </c>
      <c r="O8" s="21">
        <v>216</v>
      </c>
      <c r="P8" s="21">
        <v>216</v>
      </c>
      <c r="Q8" s="21">
        <v>216</v>
      </c>
      <c r="R8" s="21">
        <v>216</v>
      </c>
      <c r="S8" s="21">
        <v>216</v>
      </c>
      <c r="T8" s="22">
        <v>216</v>
      </c>
      <c r="U8" s="2"/>
      <c r="V8" s="2"/>
      <c r="W8" s="37" t="str" cm="1">
        <f t="array" ref="W8">INDEX(A:A, (ROW()*3)-6)</f>
        <v>BO6</v>
      </c>
      <c r="X8" s="37" t="str" cm="1">
        <f t="array" ref="X8">INDEX(T:T,(ROW(X8)*3)-(ROW($X$3)*2))</f>
        <v>0,657**</v>
      </c>
      <c r="Y8" s="39" cm="1">
        <f t="array" ref="Y8">INDEX(T:T,(ROW(X8)*3)-(ROW($X$3)*2)+1)</f>
        <v>4.348740522458662E-28</v>
      </c>
      <c r="Z8" s="37" t="str">
        <f t="shared" si="0"/>
        <v>Valid</v>
      </c>
      <c r="AA8" s="2"/>
      <c r="AB8" s="2"/>
      <c r="AC8" s="2"/>
    </row>
    <row r="9" spans="1:29" ht="34.5" x14ac:dyDescent="0.35">
      <c r="A9" s="18" t="s">
        <v>5</v>
      </c>
      <c r="B9" s="14" t="s">
        <v>21</v>
      </c>
      <c r="C9" s="23" t="s">
        <v>134</v>
      </c>
      <c r="D9" s="25" t="s">
        <v>149</v>
      </c>
      <c r="E9" s="24">
        <v>1</v>
      </c>
      <c r="F9" s="25" t="s">
        <v>158</v>
      </c>
      <c r="G9" s="25" t="s">
        <v>159</v>
      </c>
      <c r="H9" s="25" t="s">
        <v>160</v>
      </c>
      <c r="I9" s="25" t="s">
        <v>161</v>
      </c>
      <c r="J9" s="25" t="s">
        <v>162</v>
      </c>
      <c r="K9" s="16">
        <v>1.6956460837017535E-2</v>
      </c>
      <c r="L9" s="16">
        <v>1.7415390162662438E-2</v>
      </c>
      <c r="M9" s="25" t="s">
        <v>153</v>
      </c>
      <c r="N9" s="16">
        <v>7.7658381470659052E-2</v>
      </c>
      <c r="O9" s="25" t="s">
        <v>163</v>
      </c>
      <c r="P9" s="25" t="s">
        <v>164</v>
      </c>
      <c r="Q9" s="25" t="s">
        <v>165</v>
      </c>
      <c r="R9" s="16">
        <v>0.11772545457035177</v>
      </c>
      <c r="S9" s="25" t="s">
        <v>166</v>
      </c>
      <c r="T9" s="26" t="s">
        <v>167</v>
      </c>
      <c r="U9" s="2"/>
      <c r="V9" s="2"/>
      <c r="W9" s="37" t="str" cm="1">
        <f t="array" ref="W9">INDEX(A:A, (ROW()*3)-6)</f>
        <v>BO7</v>
      </c>
      <c r="X9" s="37" t="str" cm="1">
        <f t="array" ref="X9">INDEX(T:T,(ROW(X9)*3)-(ROW($X$3)*2))</f>
        <v>0,649**</v>
      </c>
      <c r="Y9" s="39" cm="1">
        <f t="array" ref="Y9">INDEX(T:T,(ROW(X9)*3)-(ROW($X$3)*2)+1)</f>
        <v>3.6644216076482962E-27</v>
      </c>
      <c r="Z9" s="37" t="str">
        <f t="shared" si="0"/>
        <v>Valid</v>
      </c>
      <c r="AA9" s="2"/>
      <c r="AB9" s="2"/>
      <c r="AC9" s="2"/>
    </row>
    <row r="10" spans="1:29" ht="23" x14ac:dyDescent="0.35">
      <c r="A10" s="13"/>
      <c r="B10" s="14" t="s">
        <v>22</v>
      </c>
      <c r="C10" s="27">
        <v>2.4144202821140564E-15</v>
      </c>
      <c r="D10" s="16">
        <v>4.9919132347021519E-7</v>
      </c>
      <c r="E10" s="28"/>
      <c r="F10" s="16">
        <v>2.3776229580137649E-36</v>
      </c>
      <c r="G10" s="16">
        <v>7.6048285963511422E-4</v>
      </c>
      <c r="H10" s="16">
        <v>1.9681386667833557E-4</v>
      </c>
      <c r="I10" s="16">
        <v>1.6944916610302972E-43</v>
      </c>
      <c r="J10" s="16">
        <v>3.8399878192312948E-3</v>
      </c>
      <c r="K10" s="16">
        <v>0.8043047489623415</v>
      </c>
      <c r="L10" s="16">
        <v>0.79911930599879866</v>
      </c>
      <c r="M10" s="16">
        <v>3.190006075894964E-2</v>
      </c>
      <c r="N10" s="16">
        <v>0.25577459246119749</v>
      </c>
      <c r="O10" s="16">
        <v>8.0097698683192456E-4</v>
      </c>
      <c r="P10" s="16">
        <v>7.4842233196119621E-9</v>
      </c>
      <c r="Q10" s="16">
        <v>1.4784958445428634E-7</v>
      </c>
      <c r="R10" s="16">
        <v>8.4316509587391938E-2</v>
      </c>
      <c r="S10" s="16">
        <v>4.8937122043468702E-6</v>
      </c>
      <c r="T10" s="17">
        <v>6.2408747745384285E-21</v>
      </c>
      <c r="U10" s="2"/>
      <c r="V10" s="2"/>
      <c r="W10" s="37" t="str" cm="1">
        <f t="array" ref="W10">INDEX(A:A, (ROW()*3)-6)</f>
        <v>BO8</v>
      </c>
      <c r="X10" s="37" t="str" cm="1">
        <f t="array" ref="X10">INDEX(T:T,(ROW(X10)*3)-(ROW($X$3)*2))</f>
        <v>0,491**</v>
      </c>
      <c r="Y10" s="39" cm="1">
        <f t="array" ref="Y10">INDEX(T:T,(ROW(X10)*3)-(ROW($X$3)*2)+1)</f>
        <v>1.6594173281172403E-14</v>
      </c>
      <c r="Z10" s="37" t="str">
        <f t="shared" si="0"/>
        <v>Valid</v>
      </c>
      <c r="AA10" s="2"/>
      <c r="AB10" s="2"/>
      <c r="AC10" s="2"/>
    </row>
    <row r="11" spans="1:29" x14ac:dyDescent="0.35">
      <c r="A11" s="18"/>
      <c r="B11" s="19" t="s">
        <v>23</v>
      </c>
      <c r="C11" s="20">
        <v>216</v>
      </c>
      <c r="D11" s="21">
        <v>216</v>
      </c>
      <c r="E11" s="21">
        <v>216</v>
      </c>
      <c r="F11" s="21">
        <v>216</v>
      </c>
      <c r="G11" s="21">
        <v>216</v>
      </c>
      <c r="H11" s="21">
        <v>216</v>
      </c>
      <c r="I11" s="21">
        <v>216</v>
      </c>
      <c r="J11" s="21">
        <v>216</v>
      </c>
      <c r="K11" s="21">
        <v>216</v>
      </c>
      <c r="L11" s="21">
        <v>216</v>
      </c>
      <c r="M11" s="21">
        <v>216</v>
      </c>
      <c r="N11" s="21">
        <v>216</v>
      </c>
      <c r="O11" s="21">
        <v>216</v>
      </c>
      <c r="P11" s="21">
        <v>216</v>
      </c>
      <c r="Q11" s="21">
        <v>216</v>
      </c>
      <c r="R11" s="21">
        <v>216</v>
      </c>
      <c r="S11" s="21">
        <v>216</v>
      </c>
      <c r="T11" s="22">
        <v>216</v>
      </c>
      <c r="U11" s="2"/>
      <c r="V11" s="2"/>
      <c r="W11" s="37" t="str" cm="1">
        <f t="array" ref="W11">INDEX(A:A, (ROW()*3)-6)</f>
        <v>BO9</v>
      </c>
      <c r="X11" s="37" t="str" cm="1">
        <f t="array" ref="X11">INDEX(T:T,(ROW(X11)*3)-(ROW($X$3)*2))</f>
        <v>0,464**</v>
      </c>
      <c r="Y11" s="39" cm="1">
        <f t="array" ref="Y11">INDEX(T:T,(ROW(X11)*3)-(ROW($X$3)*2)+1)</f>
        <v>6.4391354569551512E-13</v>
      </c>
      <c r="Z11" s="37" t="str">
        <f t="shared" si="0"/>
        <v>Valid</v>
      </c>
      <c r="AA11" s="2"/>
      <c r="AB11" s="2"/>
      <c r="AC11" s="2"/>
    </row>
    <row r="12" spans="1:29" ht="34.5" x14ac:dyDescent="0.35">
      <c r="A12" s="18" t="s">
        <v>6</v>
      </c>
      <c r="B12" s="14" t="s">
        <v>21</v>
      </c>
      <c r="C12" s="23" t="s">
        <v>135</v>
      </c>
      <c r="D12" s="25" t="s">
        <v>150</v>
      </c>
      <c r="E12" s="25" t="s">
        <v>158</v>
      </c>
      <c r="F12" s="24">
        <v>1</v>
      </c>
      <c r="G12" s="25" t="s">
        <v>147</v>
      </c>
      <c r="H12" s="25" t="s">
        <v>168</v>
      </c>
      <c r="I12" s="25" t="s">
        <v>169</v>
      </c>
      <c r="J12" s="25" t="s">
        <v>170</v>
      </c>
      <c r="K12" s="25" t="s">
        <v>171</v>
      </c>
      <c r="L12" s="16">
        <v>-4.1251275964110184E-2</v>
      </c>
      <c r="M12" s="25" t="s">
        <v>172</v>
      </c>
      <c r="N12" s="16">
        <v>6.1315638927236744E-2</v>
      </c>
      <c r="O12" s="25" t="s">
        <v>166</v>
      </c>
      <c r="P12" s="25" t="s">
        <v>135</v>
      </c>
      <c r="Q12" s="25" t="s">
        <v>173</v>
      </c>
      <c r="R12" s="25" t="s">
        <v>162</v>
      </c>
      <c r="S12" s="25" t="s">
        <v>174</v>
      </c>
      <c r="T12" s="26" t="s">
        <v>175</v>
      </c>
      <c r="U12" s="2"/>
      <c r="V12" s="2"/>
      <c r="W12" s="37" t="str" cm="1">
        <f t="array" ref="W12">INDEX(A:A, (ROW()*3)-6)</f>
        <v>BO10</v>
      </c>
      <c r="X12" s="37" t="str" cm="1">
        <f t="array" ref="X12">INDEX(T:T,(ROW(X12)*3)-(ROW($X$3)*2))</f>
        <v>0,446**</v>
      </c>
      <c r="Y12" s="39" cm="1">
        <f t="array" ref="Y12">INDEX(T:T,(ROW(X12)*3)-(ROW($X$3)*2)+1)</f>
        <v>6.0149782930191353E-12</v>
      </c>
      <c r="Z12" s="37" t="str">
        <f t="shared" si="0"/>
        <v>Valid</v>
      </c>
      <c r="AA12" s="2"/>
      <c r="AB12" s="2"/>
      <c r="AC12" s="2"/>
    </row>
    <row r="13" spans="1:29" ht="23" x14ac:dyDescent="0.35">
      <c r="A13" s="13"/>
      <c r="B13" s="14" t="s">
        <v>22</v>
      </c>
      <c r="C13" s="27">
        <v>6.5637809305902509E-10</v>
      </c>
      <c r="D13" s="16">
        <v>1.7351722266646086E-3</v>
      </c>
      <c r="E13" s="16">
        <v>2.3776229580137649E-36</v>
      </c>
      <c r="F13" s="28"/>
      <c r="G13" s="16">
        <v>2.7363229162959572E-8</v>
      </c>
      <c r="H13" s="16">
        <v>1.513169288525279E-11</v>
      </c>
      <c r="I13" s="16">
        <v>2.270232642793115E-62</v>
      </c>
      <c r="J13" s="16">
        <v>1.001641473961889E-6</v>
      </c>
      <c r="K13" s="16">
        <v>2.9335209065651575E-2</v>
      </c>
      <c r="L13" s="16">
        <v>0.54650446892895221</v>
      </c>
      <c r="M13" s="16">
        <v>9.5168474971612169E-3</v>
      </c>
      <c r="N13" s="16">
        <v>0.36984307348346479</v>
      </c>
      <c r="O13" s="16">
        <v>4.8070957289794249E-6</v>
      </c>
      <c r="P13" s="16">
        <v>7.2099076971338815E-10</v>
      </c>
      <c r="Q13" s="16">
        <v>6.3863983143136463E-9</v>
      </c>
      <c r="R13" s="16">
        <v>3.8224513071302519E-3</v>
      </c>
      <c r="S13" s="16">
        <v>2.0495462906491643E-4</v>
      </c>
      <c r="T13" s="17">
        <v>3.4695435307394808E-26</v>
      </c>
      <c r="U13" s="2"/>
      <c r="V13" s="2"/>
      <c r="W13" s="37" t="str" cm="1">
        <f t="array" ref="W13">INDEX(A:A, (ROW()*3)-6)</f>
        <v>BO11</v>
      </c>
      <c r="X13" s="37" t="str" cm="1">
        <f t="array" ref="X13">INDEX(T:T,(ROW(X13)*3)-(ROW($X$3)*2))</f>
        <v>0,623**</v>
      </c>
      <c r="Y13" s="39" cm="1">
        <f t="array" ref="Y13">INDEX(T:T,(ROW(X13)*3)-(ROW($X$3)*2)+1)</f>
        <v>1.4361485997186027E-24</v>
      </c>
      <c r="Z13" s="37" t="str">
        <f t="shared" si="0"/>
        <v>Valid</v>
      </c>
      <c r="AA13" s="2"/>
      <c r="AB13" s="2"/>
      <c r="AC13" s="2"/>
    </row>
    <row r="14" spans="1:29" x14ac:dyDescent="0.35">
      <c r="A14" s="18"/>
      <c r="B14" s="19" t="s">
        <v>23</v>
      </c>
      <c r="C14" s="20">
        <v>216</v>
      </c>
      <c r="D14" s="21">
        <v>216</v>
      </c>
      <c r="E14" s="21">
        <v>216</v>
      </c>
      <c r="F14" s="21">
        <v>216</v>
      </c>
      <c r="G14" s="21">
        <v>216</v>
      </c>
      <c r="H14" s="21">
        <v>216</v>
      </c>
      <c r="I14" s="21">
        <v>216</v>
      </c>
      <c r="J14" s="21">
        <v>216</v>
      </c>
      <c r="K14" s="21">
        <v>216</v>
      </c>
      <c r="L14" s="21">
        <v>216</v>
      </c>
      <c r="M14" s="21">
        <v>216</v>
      </c>
      <c r="N14" s="21">
        <v>216</v>
      </c>
      <c r="O14" s="21">
        <v>216</v>
      </c>
      <c r="P14" s="21">
        <v>216</v>
      </c>
      <c r="Q14" s="21">
        <v>216</v>
      </c>
      <c r="R14" s="21">
        <v>216</v>
      </c>
      <c r="S14" s="21">
        <v>216</v>
      </c>
      <c r="T14" s="22">
        <v>216</v>
      </c>
      <c r="U14" s="2"/>
      <c r="V14" s="2"/>
      <c r="W14" s="37" t="str" cm="1">
        <f t="array" ref="W14">INDEX(A:A, (ROW()*3)-6)</f>
        <v>BO12</v>
      </c>
      <c r="X14" s="37" t="str" cm="1">
        <f t="array" ref="X14">INDEX(T:T,(ROW(X14)*3)-(ROW($X$3)*2))</f>
        <v>0,514**</v>
      </c>
      <c r="Y14" s="39" cm="1">
        <f t="array" ref="Y14">INDEX(T:T,(ROW(X14)*3)-(ROW($X$3)*2)+1)</f>
        <v>6.2486483311303118E-16</v>
      </c>
      <c r="Z14" s="37" t="str">
        <f t="shared" si="0"/>
        <v>Valid</v>
      </c>
      <c r="AA14" s="2"/>
      <c r="AB14" s="2"/>
      <c r="AC14" s="2"/>
    </row>
    <row r="15" spans="1:29" ht="34.5" x14ac:dyDescent="0.35">
      <c r="A15" s="18" t="s">
        <v>7</v>
      </c>
      <c r="B15" s="14" t="s">
        <v>21</v>
      </c>
      <c r="C15" s="23" t="s">
        <v>136</v>
      </c>
      <c r="D15" s="16">
        <v>4.3559604375952889E-2</v>
      </c>
      <c r="E15" s="25" t="s">
        <v>159</v>
      </c>
      <c r="F15" s="25" t="s">
        <v>147</v>
      </c>
      <c r="G15" s="24">
        <v>1</v>
      </c>
      <c r="H15" s="25" t="s">
        <v>176</v>
      </c>
      <c r="I15" s="25" t="s">
        <v>177</v>
      </c>
      <c r="J15" s="25" t="s">
        <v>178</v>
      </c>
      <c r="K15" s="25" t="s">
        <v>179</v>
      </c>
      <c r="L15" s="25" t="s">
        <v>180</v>
      </c>
      <c r="M15" s="25" t="s">
        <v>137</v>
      </c>
      <c r="N15" s="25" t="s">
        <v>181</v>
      </c>
      <c r="O15" s="25" t="s">
        <v>182</v>
      </c>
      <c r="P15" s="25" t="s">
        <v>183</v>
      </c>
      <c r="Q15" s="25" t="s">
        <v>184</v>
      </c>
      <c r="R15" s="25" t="s">
        <v>185</v>
      </c>
      <c r="S15" s="25" t="s">
        <v>186</v>
      </c>
      <c r="T15" s="26" t="s">
        <v>187</v>
      </c>
      <c r="U15" s="2"/>
      <c r="V15" s="2"/>
      <c r="W15" s="37" t="str" cm="1">
        <f t="array" ref="W15">INDEX(A:A, (ROW()*3)-6)</f>
        <v>BO13</v>
      </c>
      <c r="X15" s="37" t="str" cm="1">
        <f t="array" ref="X15">INDEX(T:T,(ROW(X15)*3)-(ROW($X$3)*2))</f>
        <v>0,567**</v>
      </c>
      <c r="Y15" s="39" cm="1">
        <f t="array" ref="Y15">INDEX(T:T,(ROW(X15)*3)-(ROW($X$3)*2)+1)</f>
        <v>9.748100559084928E-20</v>
      </c>
      <c r="Z15" s="37" t="str">
        <f t="shared" si="0"/>
        <v>Valid</v>
      </c>
      <c r="AA15" s="2"/>
      <c r="AB15" s="2"/>
      <c r="AC15" s="2"/>
    </row>
    <row r="16" spans="1:29" ht="23" x14ac:dyDescent="0.35">
      <c r="A16" s="13"/>
      <c r="B16" s="14" t="s">
        <v>22</v>
      </c>
      <c r="C16" s="27">
        <v>1.4749004837248368E-4</v>
      </c>
      <c r="D16" s="16">
        <v>0.52426786621859667</v>
      </c>
      <c r="E16" s="16">
        <v>7.6048285963511422E-4</v>
      </c>
      <c r="F16" s="16">
        <v>2.7363229162959572E-8</v>
      </c>
      <c r="G16" s="28"/>
      <c r="H16" s="16">
        <v>1.1870706215868363E-46</v>
      </c>
      <c r="I16" s="16">
        <v>4.0856147855414422E-7</v>
      </c>
      <c r="J16" s="16">
        <v>8.1402749248995696E-5</v>
      </c>
      <c r="K16" s="16">
        <v>2.7257756907251864E-3</v>
      </c>
      <c r="L16" s="16">
        <v>7.5000261547706745E-3</v>
      </c>
      <c r="M16" s="16">
        <v>1.3835726690287015E-6</v>
      </c>
      <c r="N16" s="16">
        <v>3.5525842751460518E-5</v>
      </c>
      <c r="O16" s="16">
        <v>1.2498116433866667E-4</v>
      </c>
      <c r="P16" s="16">
        <v>2.34539063899921E-10</v>
      </c>
      <c r="Q16" s="16">
        <v>6.0289848136807923E-3</v>
      </c>
      <c r="R16" s="16">
        <v>4.9291063425458302E-3</v>
      </c>
      <c r="S16" s="16">
        <v>4.4223626949933185E-20</v>
      </c>
      <c r="T16" s="17">
        <v>1.1922052549109607E-25</v>
      </c>
      <c r="U16" s="2"/>
      <c r="V16" s="2"/>
      <c r="W16" s="37" t="str" cm="1">
        <f t="array" ref="W16">INDEX(A:A, (ROW()*3)-6)</f>
        <v>BO14</v>
      </c>
      <c r="X16" s="37" t="str" cm="1">
        <f t="array" ref="X16">INDEX(T:T,(ROW(X16)*3)-(ROW($X$3)*2))</f>
        <v>0,609**</v>
      </c>
      <c r="Y16" s="39" cm="1">
        <f t="array" ref="Y16">INDEX(T:T,(ROW(X16)*3)-(ROW($X$3)*2)+1)</f>
        <v>2.7892608033030887E-23</v>
      </c>
      <c r="Z16" s="37" t="str">
        <f t="shared" si="0"/>
        <v>Valid</v>
      </c>
      <c r="AA16" s="2"/>
      <c r="AB16" s="2"/>
      <c r="AC16" s="2"/>
    </row>
    <row r="17" spans="1:29" x14ac:dyDescent="0.35">
      <c r="A17" s="18"/>
      <c r="B17" s="19" t="s">
        <v>23</v>
      </c>
      <c r="C17" s="20">
        <v>216</v>
      </c>
      <c r="D17" s="21">
        <v>216</v>
      </c>
      <c r="E17" s="21">
        <v>216</v>
      </c>
      <c r="F17" s="21">
        <v>216</v>
      </c>
      <c r="G17" s="21">
        <v>216</v>
      </c>
      <c r="H17" s="21">
        <v>216</v>
      </c>
      <c r="I17" s="21">
        <v>216</v>
      </c>
      <c r="J17" s="21">
        <v>216</v>
      </c>
      <c r="K17" s="21">
        <v>216</v>
      </c>
      <c r="L17" s="21">
        <v>216</v>
      </c>
      <c r="M17" s="21">
        <v>216</v>
      </c>
      <c r="N17" s="21">
        <v>216</v>
      </c>
      <c r="O17" s="21">
        <v>216</v>
      </c>
      <c r="P17" s="21">
        <v>216</v>
      </c>
      <c r="Q17" s="21">
        <v>216</v>
      </c>
      <c r="R17" s="21">
        <v>216</v>
      </c>
      <c r="S17" s="21">
        <v>216</v>
      </c>
      <c r="T17" s="22">
        <v>216</v>
      </c>
      <c r="U17" s="2"/>
      <c r="V17" s="2"/>
      <c r="W17" s="37" t="str" cm="1">
        <f t="array" ref="W17">INDEX(A:A, (ROW()*3)-6)</f>
        <v>BO15</v>
      </c>
      <c r="X17" s="37" t="str" cm="1">
        <f t="array" ref="X17">INDEX(T:T,(ROW(X17)*3)-(ROW($X$3)*2))</f>
        <v>0,546**</v>
      </c>
      <c r="Y17" s="39" cm="1">
        <f t="array" ref="Y17">INDEX(T:T,(ROW(X17)*3)-(ROW($X$3)*2)+1)</f>
        <v>3.7276017892167427E-18</v>
      </c>
      <c r="Z17" s="37" t="str">
        <f t="shared" si="0"/>
        <v>Valid</v>
      </c>
      <c r="AA17" s="2"/>
      <c r="AB17" s="2"/>
      <c r="AC17" s="2"/>
    </row>
    <row r="18" spans="1:29" ht="34.5" x14ac:dyDescent="0.35">
      <c r="A18" s="18" t="s">
        <v>8</v>
      </c>
      <c r="B18" s="14" t="s">
        <v>21</v>
      </c>
      <c r="C18" s="23" t="s">
        <v>137</v>
      </c>
      <c r="D18" s="16">
        <v>0.12651585495336876</v>
      </c>
      <c r="E18" s="25" t="s">
        <v>160</v>
      </c>
      <c r="F18" s="25" t="s">
        <v>168</v>
      </c>
      <c r="G18" s="25" t="s">
        <v>176</v>
      </c>
      <c r="H18" s="24">
        <v>1</v>
      </c>
      <c r="I18" s="25" t="s">
        <v>188</v>
      </c>
      <c r="J18" s="25" t="s">
        <v>189</v>
      </c>
      <c r="K18" s="25" t="s">
        <v>178</v>
      </c>
      <c r="L18" s="25" t="s">
        <v>190</v>
      </c>
      <c r="M18" s="25" t="s">
        <v>191</v>
      </c>
      <c r="N18" s="25" t="s">
        <v>192</v>
      </c>
      <c r="O18" s="25" t="s">
        <v>193</v>
      </c>
      <c r="P18" s="25" t="s">
        <v>194</v>
      </c>
      <c r="Q18" s="25" t="s">
        <v>195</v>
      </c>
      <c r="R18" s="25" t="s">
        <v>196</v>
      </c>
      <c r="S18" s="25" t="s">
        <v>197</v>
      </c>
      <c r="T18" s="26" t="s">
        <v>198</v>
      </c>
      <c r="U18" s="2"/>
      <c r="V18" s="2"/>
      <c r="W18" s="37" t="str" cm="1">
        <f t="array" ref="W18">INDEX(A:A, (ROW()*3)-6)</f>
        <v>BO16</v>
      </c>
      <c r="X18" s="37" t="str" cm="1">
        <f t="array" ref="X18">INDEX(T:T,(ROW(X18)*3)-(ROW($X$3)*2))</f>
        <v>0,538**</v>
      </c>
      <c r="Y18" s="39" cm="1">
        <f t="array" ref="Y18">INDEX(T:T,(ROW(X18)*3)-(ROW($X$3)*2)+1)</f>
        <v>1.222807449292685E-17</v>
      </c>
      <c r="Z18" s="37" t="str">
        <f t="shared" si="0"/>
        <v>Valid</v>
      </c>
      <c r="AA18" s="2"/>
      <c r="AB18" s="2"/>
      <c r="AC18" s="2"/>
    </row>
    <row r="19" spans="1:29" ht="23" x14ac:dyDescent="0.35">
      <c r="A19" s="13"/>
      <c r="B19" s="14" t="s">
        <v>22</v>
      </c>
      <c r="C19" s="27">
        <v>1.2956457277412441E-6</v>
      </c>
      <c r="D19" s="16">
        <v>6.3443347903196695E-2</v>
      </c>
      <c r="E19" s="16">
        <v>1.9681386667833557E-4</v>
      </c>
      <c r="F19" s="16">
        <v>1.513169288525279E-11</v>
      </c>
      <c r="G19" s="16">
        <v>1.1870706215868363E-46</v>
      </c>
      <c r="H19" s="28"/>
      <c r="I19" s="16">
        <v>1.6823371024498777E-11</v>
      </c>
      <c r="J19" s="16">
        <v>5.8046286766296662E-6</v>
      </c>
      <c r="K19" s="16">
        <v>8.1647398073740908E-5</v>
      </c>
      <c r="L19" s="16">
        <v>4.1083709927669701E-2</v>
      </c>
      <c r="M19" s="16">
        <v>2.0057522365656739E-6</v>
      </c>
      <c r="N19" s="16">
        <v>2.1795535164454709E-3</v>
      </c>
      <c r="O19" s="16">
        <v>6.7080228885008963E-6</v>
      </c>
      <c r="P19" s="16">
        <v>1.1310249287132872E-9</v>
      </c>
      <c r="Q19" s="16">
        <v>2.2750779340750836E-2</v>
      </c>
      <c r="R19" s="16">
        <v>1.098228956414516E-2</v>
      </c>
      <c r="S19" s="16">
        <v>7.2611028265823725E-19</v>
      </c>
      <c r="T19" s="17">
        <v>4.348740522458662E-28</v>
      </c>
      <c r="U19" s="2"/>
      <c r="V19" s="2"/>
      <c r="W19" s="37" t="str" cm="1">
        <f t="array" ref="W19">INDEX(A:A, (ROW()*3)-6)</f>
        <v>BO17</v>
      </c>
      <c r="X19" s="37" t="str" cm="1">
        <f t="array" ref="X19">INDEX(T:T,(ROW(X19)*3)-(ROW($X$3)*2))</f>
        <v>0,596**</v>
      </c>
      <c r="Y19" s="39" cm="1">
        <f t="array" ref="Y19">INDEX(T:T,(ROW(X19)*3)-(ROW($X$3)*2)+1)</f>
        <v>3.7367135169336125E-22</v>
      </c>
      <c r="Z19" s="37" t="str">
        <f t="shared" si="0"/>
        <v>Valid</v>
      </c>
      <c r="AA19" s="2"/>
      <c r="AB19" s="2"/>
      <c r="AC19" s="2"/>
    </row>
    <row r="20" spans="1:29" x14ac:dyDescent="0.35">
      <c r="A20" s="18"/>
      <c r="B20" s="19" t="s">
        <v>23</v>
      </c>
      <c r="C20" s="20">
        <v>216</v>
      </c>
      <c r="D20" s="21">
        <v>216</v>
      </c>
      <c r="E20" s="21">
        <v>216</v>
      </c>
      <c r="F20" s="21">
        <v>216</v>
      </c>
      <c r="G20" s="21">
        <v>216</v>
      </c>
      <c r="H20" s="21">
        <v>216</v>
      </c>
      <c r="I20" s="21">
        <v>216</v>
      </c>
      <c r="J20" s="21">
        <v>216</v>
      </c>
      <c r="K20" s="21">
        <v>216</v>
      </c>
      <c r="L20" s="21">
        <v>216</v>
      </c>
      <c r="M20" s="21">
        <v>216</v>
      </c>
      <c r="N20" s="21">
        <v>216</v>
      </c>
      <c r="O20" s="21">
        <v>216</v>
      </c>
      <c r="P20" s="21">
        <v>216</v>
      </c>
      <c r="Q20" s="21">
        <v>216</v>
      </c>
      <c r="R20" s="21">
        <v>216</v>
      </c>
      <c r="S20" s="21">
        <v>216</v>
      </c>
      <c r="T20" s="22">
        <v>216</v>
      </c>
      <c r="U20" s="2"/>
      <c r="V20" s="2"/>
      <c r="W20" s="2"/>
      <c r="X20" s="2"/>
      <c r="Y20" s="2"/>
      <c r="Z20" s="2"/>
      <c r="AA20" s="2"/>
      <c r="AB20" s="2"/>
      <c r="AC20" s="2"/>
    </row>
    <row r="21" spans="1:29" ht="34.5" x14ac:dyDescent="0.35">
      <c r="A21" s="18" t="s">
        <v>9</v>
      </c>
      <c r="B21" s="14" t="s">
        <v>21</v>
      </c>
      <c r="C21" s="23" t="s">
        <v>138</v>
      </c>
      <c r="D21" s="25" t="s">
        <v>151</v>
      </c>
      <c r="E21" s="25" t="s">
        <v>161</v>
      </c>
      <c r="F21" s="25" t="s">
        <v>169</v>
      </c>
      <c r="G21" s="25" t="s">
        <v>177</v>
      </c>
      <c r="H21" s="25" t="s">
        <v>188</v>
      </c>
      <c r="I21" s="24">
        <v>1</v>
      </c>
      <c r="J21" s="25" t="s">
        <v>199</v>
      </c>
      <c r="K21" s="16">
        <v>0.12997514621691778</v>
      </c>
      <c r="L21" s="16">
        <v>-1.630111861647664E-2</v>
      </c>
      <c r="M21" s="25" t="s">
        <v>200</v>
      </c>
      <c r="N21" s="25" t="s">
        <v>201</v>
      </c>
      <c r="O21" s="25" t="s">
        <v>202</v>
      </c>
      <c r="P21" s="25" t="s">
        <v>203</v>
      </c>
      <c r="Q21" s="25" t="s">
        <v>204</v>
      </c>
      <c r="R21" s="25" t="s">
        <v>205</v>
      </c>
      <c r="S21" s="25" t="s">
        <v>206</v>
      </c>
      <c r="T21" s="26" t="s">
        <v>207</v>
      </c>
      <c r="U21" s="2"/>
      <c r="V21" s="2"/>
      <c r="W21" s="2"/>
      <c r="X21" s="2"/>
      <c r="Y21" s="2"/>
      <c r="Z21" s="2"/>
      <c r="AA21" s="2"/>
      <c r="AB21" s="2"/>
      <c r="AC21" s="2"/>
    </row>
    <row r="22" spans="1:29" ht="23" x14ac:dyDescent="0.35">
      <c r="A22" s="13"/>
      <c r="B22" s="14" t="s">
        <v>22</v>
      </c>
      <c r="C22" s="27">
        <v>1.8096660283035635E-10</v>
      </c>
      <c r="D22" s="16">
        <v>1.3957476198223234E-3</v>
      </c>
      <c r="E22" s="16">
        <v>1.6944916610302972E-43</v>
      </c>
      <c r="F22" s="16">
        <v>2.270232642793115E-62</v>
      </c>
      <c r="G22" s="16">
        <v>4.0856147855414422E-7</v>
      </c>
      <c r="H22" s="16">
        <v>1.6823371024498777E-11</v>
      </c>
      <c r="I22" s="28"/>
      <c r="J22" s="16">
        <v>3.3665754354107466E-3</v>
      </c>
      <c r="K22" s="16">
        <v>5.6488116851121685E-2</v>
      </c>
      <c r="L22" s="16">
        <v>0.81172425391481795</v>
      </c>
      <c r="M22" s="16">
        <v>2.2082298581914492E-2</v>
      </c>
      <c r="N22" s="16">
        <v>4.2486873906008409E-2</v>
      </c>
      <c r="O22" s="16">
        <v>7.5728269522817972E-7</v>
      </c>
      <c r="P22" s="16">
        <v>1.4809624890606989E-9</v>
      </c>
      <c r="Q22" s="16">
        <v>3.9000990231077931E-6</v>
      </c>
      <c r="R22" s="16">
        <v>3.2850286129788202E-4</v>
      </c>
      <c r="S22" s="16">
        <v>6.1493883068469534E-7</v>
      </c>
      <c r="T22" s="17">
        <v>3.6644216076482962E-27</v>
      </c>
      <c r="U22" s="2"/>
      <c r="V22" s="2"/>
      <c r="W22" s="2"/>
      <c r="X22" s="2"/>
      <c r="Y22" s="2"/>
      <c r="Z22" s="2"/>
      <c r="AA22" s="2"/>
      <c r="AB22" s="2"/>
      <c r="AC22" s="2"/>
    </row>
    <row r="23" spans="1:29" x14ac:dyDescent="0.35">
      <c r="A23" s="18"/>
      <c r="B23" s="19" t="s">
        <v>23</v>
      </c>
      <c r="C23" s="20">
        <v>216</v>
      </c>
      <c r="D23" s="21">
        <v>216</v>
      </c>
      <c r="E23" s="21">
        <v>216</v>
      </c>
      <c r="F23" s="21">
        <v>216</v>
      </c>
      <c r="G23" s="21">
        <v>216</v>
      </c>
      <c r="H23" s="21">
        <v>216</v>
      </c>
      <c r="I23" s="21">
        <v>216</v>
      </c>
      <c r="J23" s="21">
        <v>216</v>
      </c>
      <c r="K23" s="21">
        <v>216</v>
      </c>
      <c r="L23" s="21">
        <v>216</v>
      </c>
      <c r="M23" s="21">
        <v>216</v>
      </c>
      <c r="N23" s="21">
        <v>216</v>
      </c>
      <c r="O23" s="21">
        <v>216</v>
      </c>
      <c r="P23" s="21">
        <v>216</v>
      </c>
      <c r="Q23" s="21">
        <v>216</v>
      </c>
      <c r="R23" s="21">
        <v>216</v>
      </c>
      <c r="S23" s="21">
        <v>216</v>
      </c>
      <c r="T23" s="22">
        <v>216</v>
      </c>
      <c r="U23" s="2"/>
      <c r="V23" s="2"/>
      <c r="W23" s="2"/>
      <c r="X23" s="2"/>
      <c r="Y23" s="2"/>
      <c r="Z23" s="2"/>
      <c r="AA23" s="2"/>
      <c r="AB23" s="2"/>
      <c r="AC23" s="2"/>
    </row>
    <row r="24" spans="1:29" ht="34.5" x14ac:dyDescent="0.35">
      <c r="A24" s="18" t="s">
        <v>10</v>
      </c>
      <c r="B24" s="14" t="s">
        <v>21</v>
      </c>
      <c r="C24" s="23" t="s">
        <v>139</v>
      </c>
      <c r="D24" s="25" t="s">
        <v>152</v>
      </c>
      <c r="E24" s="25" t="s">
        <v>162</v>
      </c>
      <c r="F24" s="25" t="s">
        <v>170</v>
      </c>
      <c r="G24" s="25" t="s">
        <v>178</v>
      </c>
      <c r="H24" s="25" t="s">
        <v>189</v>
      </c>
      <c r="I24" s="25" t="s">
        <v>199</v>
      </c>
      <c r="J24" s="24">
        <v>1</v>
      </c>
      <c r="K24" s="25" t="s">
        <v>171</v>
      </c>
      <c r="L24" s="25" t="s">
        <v>208</v>
      </c>
      <c r="M24" s="25" t="s">
        <v>209</v>
      </c>
      <c r="N24" s="16">
        <v>2.2519713377584679E-2</v>
      </c>
      <c r="O24" s="16">
        <v>0.11438727042502038</v>
      </c>
      <c r="P24" s="25" t="s">
        <v>210</v>
      </c>
      <c r="Q24" s="25" t="s">
        <v>146</v>
      </c>
      <c r="R24" s="16">
        <v>0.13276097546822885</v>
      </c>
      <c r="S24" s="25" t="s">
        <v>191</v>
      </c>
      <c r="T24" s="26" t="s">
        <v>211</v>
      </c>
      <c r="U24" s="2"/>
      <c r="V24" s="2"/>
      <c r="W24" s="2"/>
      <c r="X24" s="2"/>
      <c r="Y24" s="2"/>
      <c r="Z24" s="2"/>
      <c r="AA24" s="2"/>
      <c r="AB24" s="2"/>
      <c r="AC24" s="2"/>
    </row>
    <row r="25" spans="1:29" ht="23" x14ac:dyDescent="0.35">
      <c r="A25" s="13"/>
      <c r="B25" s="14" t="s">
        <v>22</v>
      </c>
      <c r="C25" s="27">
        <v>1.0697976122447292E-10</v>
      </c>
      <c r="D25" s="16">
        <v>4.8707912755662332E-5</v>
      </c>
      <c r="E25" s="16">
        <v>3.8399878192312948E-3</v>
      </c>
      <c r="F25" s="16">
        <v>1.001641473961889E-6</v>
      </c>
      <c r="G25" s="16">
        <v>8.1402749248995696E-5</v>
      </c>
      <c r="H25" s="16">
        <v>5.8046286766296662E-6</v>
      </c>
      <c r="I25" s="16">
        <v>3.3665754354107466E-3</v>
      </c>
      <c r="J25" s="28"/>
      <c r="K25" s="16">
        <v>3.0213237695798013E-2</v>
      </c>
      <c r="L25" s="16">
        <v>3.361365727809408E-10</v>
      </c>
      <c r="M25" s="16">
        <v>4.5345640258998685E-5</v>
      </c>
      <c r="N25" s="16">
        <v>0.74208605709636433</v>
      </c>
      <c r="O25" s="16">
        <v>9.3562749862035055E-2</v>
      </c>
      <c r="P25" s="16">
        <v>1.9745445842823455E-3</v>
      </c>
      <c r="Q25" s="16">
        <v>4.3658548337914957E-3</v>
      </c>
      <c r="R25" s="16">
        <v>5.1356141208981354E-2</v>
      </c>
      <c r="S25" s="16">
        <v>1.9339416295596693E-6</v>
      </c>
      <c r="T25" s="17">
        <v>1.6594173281172403E-14</v>
      </c>
      <c r="U25" s="2"/>
      <c r="V25" s="2"/>
      <c r="W25" s="2"/>
      <c r="X25" s="2"/>
      <c r="Y25" s="2"/>
      <c r="Z25" s="2"/>
      <c r="AA25" s="2"/>
      <c r="AB25" s="2"/>
      <c r="AC25" s="2"/>
    </row>
    <row r="26" spans="1:29" x14ac:dyDescent="0.35">
      <c r="A26" s="18"/>
      <c r="B26" s="19" t="s">
        <v>23</v>
      </c>
      <c r="C26" s="20">
        <v>216</v>
      </c>
      <c r="D26" s="21">
        <v>216</v>
      </c>
      <c r="E26" s="21">
        <v>216</v>
      </c>
      <c r="F26" s="21">
        <v>216</v>
      </c>
      <c r="G26" s="21">
        <v>216</v>
      </c>
      <c r="H26" s="21">
        <v>216</v>
      </c>
      <c r="I26" s="21">
        <v>216</v>
      </c>
      <c r="J26" s="21">
        <v>216</v>
      </c>
      <c r="K26" s="21">
        <v>216</v>
      </c>
      <c r="L26" s="21">
        <v>216</v>
      </c>
      <c r="M26" s="21">
        <v>216</v>
      </c>
      <c r="N26" s="21">
        <v>216</v>
      </c>
      <c r="O26" s="21">
        <v>216</v>
      </c>
      <c r="P26" s="21">
        <v>216</v>
      </c>
      <c r="Q26" s="21">
        <v>216</v>
      </c>
      <c r="R26" s="21">
        <v>216</v>
      </c>
      <c r="S26" s="21">
        <v>216</v>
      </c>
      <c r="T26" s="22">
        <v>216</v>
      </c>
      <c r="U26" s="2"/>
      <c r="V26" s="2"/>
      <c r="W26" s="2"/>
      <c r="X26" s="2"/>
      <c r="Y26" s="2"/>
      <c r="Z26" s="2"/>
      <c r="AA26" s="2"/>
      <c r="AB26" s="2"/>
      <c r="AC26" s="2"/>
    </row>
    <row r="27" spans="1:29" ht="34.5" x14ac:dyDescent="0.35">
      <c r="A27" s="18" t="s">
        <v>11</v>
      </c>
      <c r="B27" s="14" t="s">
        <v>21</v>
      </c>
      <c r="C27" s="23" t="s">
        <v>140</v>
      </c>
      <c r="D27" s="25" t="s">
        <v>153</v>
      </c>
      <c r="E27" s="16">
        <v>1.6956460837017535E-2</v>
      </c>
      <c r="F27" s="25" t="s">
        <v>171</v>
      </c>
      <c r="G27" s="25" t="s">
        <v>179</v>
      </c>
      <c r="H27" s="25" t="s">
        <v>178</v>
      </c>
      <c r="I27" s="16">
        <v>0.12997514621691778</v>
      </c>
      <c r="J27" s="25" t="s">
        <v>171</v>
      </c>
      <c r="K27" s="24">
        <v>1</v>
      </c>
      <c r="L27" s="25" t="s">
        <v>212</v>
      </c>
      <c r="M27" s="25" t="s">
        <v>213</v>
      </c>
      <c r="N27" s="25" t="s">
        <v>214</v>
      </c>
      <c r="O27" s="25" t="s">
        <v>194</v>
      </c>
      <c r="P27" s="25" t="s">
        <v>215</v>
      </c>
      <c r="Q27" s="16">
        <v>0.12352229263868669</v>
      </c>
      <c r="R27" s="25" t="s">
        <v>216</v>
      </c>
      <c r="S27" s="25" t="s">
        <v>190</v>
      </c>
      <c r="T27" s="26" t="s">
        <v>217</v>
      </c>
      <c r="U27" s="2"/>
      <c r="V27" s="2"/>
      <c r="W27" s="2"/>
      <c r="X27" s="2"/>
      <c r="Y27" s="2"/>
      <c r="Z27" s="2"/>
      <c r="AA27" s="2"/>
      <c r="AB27" s="2"/>
      <c r="AC27" s="2"/>
    </row>
    <row r="28" spans="1:29" ht="23" x14ac:dyDescent="0.35">
      <c r="A28" s="13"/>
      <c r="B28" s="14" t="s">
        <v>22</v>
      </c>
      <c r="C28" s="27">
        <v>9.1765649087896252E-5</v>
      </c>
      <c r="D28" s="16">
        <v>3.2037025795142969E-2</v>
      </c>
      <c r="E28" s="16">
        <v>0.8043047489623415</v>
      </c>
      <c r="F28" s="16">
        <v>2.9335209065651575E-2</v>
      </c>
      <c r="G28" s="16">
        <v>2.7257756907251864E-3</v>
      </c>
      <c r="H28" s="16">
        <v>8.1647398073740908E-5</v>
      </c>
      <c r="I28" s="16">
        <v>5.6488116851121685E-2</v>
      </c>
      <c r="J28" s="16">
        <v>3.0213237695798013E-2</v>
      </c>
      <c r="K28" s="28"/>
      <c r="L28" s="16">
        <v>4.5956774899844248E-7</v>
      </c>
      <c r="M28" s="16">
        <v>5.4459447135043945E-9</v>
      </c>
      <c r="N28" s="16">
        <v>1.2582831210693392E-5</v>
      </c>
      <c r="O28" s="16">
        <v>1.2022840423087046E-9</v>
      </c>
      <c r="P28" s="16">
        <v>1.7014927346893152E-2</v>
      </c>
      <c r="Q28" s="16">
        <v>7.0015496800953772E-2</v>
      </c>
      <c r="R28" s="16">
        <v>9.0645698028768246E-11</v>
      </c>
      <c r="S28" s="16">
        <v>4.1243221473925278E-2</v>
      </c>
      <c r="T28" s="17">
        <v>6.4391354569551512E-13</v>
      </c>
      <c r="U28" s="2"/>
      <c r="V28" s="2"/>
      <c r="W28" s="2"/>
      <c r="X28" s="2"/>
      <c r="Y28" s="2"/>
      <c r="Z28" s="2"/>
      <c r="AA28" s="2"/>
      <c r="AB28" s="2"/>
      <c r="AC28" s="2"/>
    </row>
    <row r="29" spans="1:29" x14ac:dyDescent="0.35">
      <c r="A29" s="18"/>
      <c r="B29" s="19" t="s">
        <v>23</v>
      </c>
      <c r="C29" s="20">
        <v>216</v>
      </c>
      <c r="D29" s="21">
        <v>216</v>
      </c>
      <c r="E29" s="21">
        <v>216</v>
      </c>
      <c r="F29" s="21">
        <v>216</v>
      </c>
      <c r="G29" s="21">
        <v>216</v>
      </c>
      <c r="H29" s="21">
        <v>216</v>
      </c>
      <c r="I29" s="21">
        <v>216</v>
      </c>
      <c r="J29" s="21">
        <v>216</v>
      </c>
      <c r="K29" s="21">
        <v>216</v>
      </c>
      <c r="L29" s="21">
        <v>216</v>
      </c>
      <c r="M29" s="21">
        <v>216</v>
      </c>
      <c r="N29" s="21">
        <v>216</v>
      </c>
      <c r="O29" s="21">
        <v>216</v>
      </c>
      <c r="P29" s="21">
        <v>216</v>
      </c>
      <c r="Q29" s="21">
        <v>216</v>
      </c>
      <c r="R29" s="21">
        <v>216</v>
      </c>
      <c r="S29" s="21">
        <v>216</v>
      </c>
      <c r="T29" s="22">
        <v>216</v>
      </c>
      <c r="U29" s="2"/>
      <c r="V29" s="2"/>
      <c r="W29" s="2"/>
      <c r="X29" s="2"/>
      <c r="Y29" s="2"/>
      <c r="Z29" s="2"/>
      <c r="AA29" s="2"/>
      <c r="AB29" s="2"/>
      <c r="AC29" s="2"/>
    </row>
    <row r="30" spans="1:29" ht="34.5" x14ac:dyDescent="0.35">
      <c r="A30" s="18" t="s">
        <v>12</v>
      </c>
      <c r="B30" s="14" t="s">
        <v>21</v>
      </c>
      <c r="C30" s="23" t="s">
        <v>141</v>
      </c>
      <c r="D30" s="25" t="s">
        <v>154</v>
      </c>
      <c r="E30" s="16">
        <v>1.7415390162662438E-2</v>
      </c>
      <c r="F30" s="16">
        <v>-4.1251275964110184E-2</v>
      </c>
      <c r="G30" s="25" t="s">
        <v>180</v>
      </c>
      <c r="H30" s="25" t="s">
        <v>190</v>
      </c>
      <c r="I30" s="16">
        <v>-1.630111861647664E-2</v>
      </c>
      <c r="J30" s="25" t="s">
        <v>208</v>
      </c>
      <c r="K30" s="25" t="s">
        <v>212</v>
      </c>
      <c r="L30" s="24">
        <v>1</v>
      </c>
      <c r="M30" s="25" t="s">
        <v>218</v>
      </c>
      <c r="N30" s="25" t="s">
        <v>219</v>
      </c>
      <c r="O30" s="16">
        <v>3.9225013315070355E-2</v>
      </c>
      <c r="P30" s="16">
        <v>2.0959509601950237E-2</v>
      </c>
      <c r="Q30" s="16">
        <v>8.7829922252033468E-2</v>
      </c>
      <c r="R30" s="25" t="s">
        <v>220</v>
      </c>
      <c r="S30" s="25" t="s">
        <v>221</v>
      </c>
      <c r="T30" s="26" t="s">
        <v>222</v>
      </c>
      <c r="U30" s="2"/>
      <c r="V30" s="2"/>
      <c r="W30" s="2"/>
      <c r="X30" s="2"/>
      <c r="Y30" s="2"/>
      <c r="Z30" s="2"/>
      <c r="AA30" s="2"/>
      <c r="AB30" s="2"/>
      <c r="AC30" s="2"/>
    </row>
    <row r="31" spans="1:29" ht="23" x14ac:dyDescent="0.35">
      <c r="A31" s="13"/>
      <c r="B31" s="14" t="s">
        <v>22</v>
      </c>
      <c r="C31" s="27">
        <v>4.3720225748888465E-6</v>
      </c>
      <c r="D31" s="16">
        <v>9.9951706373810477E-6</v>
      </c>
      <c r="E31" s="16">
        <v>0.79911930599879866</v>
      </c>
      <c r="F31" s="16">
        <v>0.54650446892895221</v>
      </c>
      <c r="G31" s="16">
        <v>7.5000261547706745E-3</v>
      </c>
      <c r="H31" s="16">
        <v>4.1083709927669701E-2</v>
      </c>
      <c r="I31" s="16">
        <v>0.81172425391481795</v>
      </c>
      <c r="J31" s="16">
        <v>3.361365727809408E-10</v>
      </c>
      <c r="K31" s="16">
        <v>4.5956774899844248E-7</v>
      </c>
      <c r="L31" s="28"/>
      <c r="M31" s="16">
        <v>2.4119069351512012E-11</v>
      </c>
      <c r="N31" s="16">
        <v>1.0626715192964328E-5</v>
      </c>
      <c r="O31" s="16">
        <v>0.5663987627593674</v>
      </c>
      <c r="P31" s="16">
        <v>0.75938623733272737</v>
      </c>
      <c r="Q31" s="16">
        <v>0.19850337004275079</v>
      </c>
      <c r="R31" s="16">
        <v>1.6632203468819557E-7</v>
      </c>
      <c r="S31" s="16">
        <v>5.4000688515776402E-7</v>
      </c>
      <c r="T31" s="17">
        <v>6.0149782930191353E-12</v>
      </c>
      <c r="U31" s="2"/>
      <c r="V31" s="2"/>
      <c r="W31" s="2"/>
      <c r="X31" s="2"/>
      <c r="Y31" s="2"/>
      <c r="Z31" s="2"/>
      <c r="AA31" s="2"/>
      <c r="AB31" s="2"/>
      <c r="AC31" s="2"/>
    </row>
    <row r="32" spans="1:29" x14ac:dyDescent="0.35">
      <c r="A32" s="18"/>
      <c r="B32" s="19" t="s">
        <v>23</v>
      </c>
      <c r="C32" s="20">
        <v>216</v>
      </c>
      <c r="D32" s="21">
        <v>216</v>
      </c>
      <c r="E32" s="21">
        <v>216</v>
      </c>
      <c r="F32" s="21">
        <v>216</v>
      </c>
      <c r="G32" s="21">
        <v>216</v>
      </c>
      <c r="H32" s="21">
        <v>216</v>
      </c>
      <c r="I32" s="21">
        <v>216</v>
      </c>
      <c r="J32" s="21">
        <v>216</v>
      </c>
      <c r="K32" s="21">
        <v>216</v>
      </c>
      <c r="L32" s="21">
        <v>216</v>
      </c>
      <c r="M32" s="21">
        <v>216</v>
      </c>
      <c r="N32" s="21">
        <v>216</v>
      </c>
      <c r="O32" s="21">
        <v>216</v>
      </c>
      <c r="P32" s="21">
        <v>216</v>
      </c>
      <c r="Q32" s="21">
        <v>216</v>
      </c>
      <c r="R32" s="21">
        <v>216</v>
      </c>
      <c r="S32" s="21">
        <v>216</v>
      </c>
      <c r="T32" s="22">
        <v>216</v>
      </c>
      <c r="U32" s="2"/>
      <c r="V32" s="2"/>
      <c r="W32" s="2"/>
      <c r="X32" s="2"/>
      <c r="Y32" s="2"/>
      <c r="Z32" s="2"/>
      <c r="AA32" s="2"/>
      <c r="AB32" s="2"/>
      <c r="AC32" s="2"/>
    </row>
    <row r="33" spans="1:29" ht="34.5" x14ac:dyDescent="0.35">
      <c r="A33" s="18" t="s">
        <v>13</v>
      </c>
      <c r="B33" s="14" t="s">
        <v>21</v>
      </c>
      <c r="C33" s="23" t="s">
        <v>142</v>
      </c>
      <c r="D33" s="25" t="s">
        <v>155</v>
      </c>
      <c r="E33" s="25" t="s">
        <v>153</v>
      </c>
      <c r="F33" s="25" t="s">
        <v>172</v>
      </c>
      <c r="G33" s="25" t="s">
        <v>137</v>
      </c>
      <c r="H33" s="25" t="s">
        <v>191</v>
      </c>
      <c r="I33" s="25" t="s">
        <v>200</v>
      </c>
      <c r="J33" s="25" t="s">
        <v>209</v>
      </c>
      <c r="K33" s="25" t="s">
        <v>213</v>
      </c>
      <c r="L33" s="25" t="s">
        <v>218</v>
      </c>
      <c r="M33" s="24">
        <v>1</v>
      </c>
      <c r="N33" s="25" t="s">
        <v>223</v>
      </c>
      <c r="O33" s="25" t="s">
        <v>224</v>
      </c>
      <c r="P33" s="25" t="s">
        <v>225</v>
      </c>
      <c r="Q33" s="25" t="s">
        <v>226</v>
      </c>
      <c r="R33" s="25" t="s">
        <v>227</v>
      </c>
      <c r="S33" s="25" t="s">
        <v>150</v>
      </c>
      <c r="T33" s="26" t="s">
        <v>228</v>
      </c>
      <c r="U33" s="2"/>
      <c r="V33" s="2"/>
      <c r="W33" s="2"/>
      <c r="X33" s="2"/>
      <c r="Y33" s="2"/>
      <c r="Z33" s="2"/>
      <c r="AA33" s="2"/>
      <c r="AB33" s="2"/>
      <c r="AC33" s="2"/>
    </row>
    <row r="34" spans="1:29" ht="23" x14ac:dyDescent="0.35">
      <c r="A34" s="13"/>
      <c r="B34" s="14" t="s">
        <v>22</v>
      </c>
      <c r="C34" s="27">
        <v>6.4374407138776773E-7</v>
      </c>
      <c r="D34" s="16">
        <v>3.6178006785920242E-3</v>
      </c>
      <c r="E34" s="16">
        <v>3.190006075894964E-2</v>
      </c>
      <c r="F34" s="16">
        <v>9.5168474971612169E-3</v>
      </c>
      <c r="G34" s="16">
        <v>1.3835726690287015E-6</v>
      </c>
      <c r="H34" s="16">
        <v>2.0057522365656739E-6</v>
      </c>
      <c r="I34" s="16">
        <v>2.2082298581914492E-2</v>
      </c>
      <c r="J34" s="16">
        <v>4.5345640258998685E-5</v>
      </c>
      <c r="K34" s="16">
        <v>5.4459447135043945E-9</v>
      </c>
      <c r="L34" s="16">
        <v>2.4119069351512012E-11</v>
      </c>
      <c r="M34" s="28"/>
      <c r="N34" s="16">
        <v>6.8828193816467312E-11</v>
      </c>
      <c r="O34" s="16">
        <v>8.1629518425213865E-7</v>
      </c>
      <c r="P34" s="16">
        <v>1.4145624030753993E-8</v>
      </c>
      <c r="Q34" s="16">
        <v>2.2964840135805698E-9</v>
      </c>
      <c r="R34" s="16">
        <v>1.3037437522646263E-13</v>
      </c>
      <c r="S34" s="16">
        <v>1.721324787758532E-3</v>
      </c>
      <c r="T34" s="17">
        <v>1.4361485997186027E-24</v>
      </c>
      <c r="U34" s="2"/>
      <c r="V34" s="2"/>
      <c r="W34" s="2"/>
      <c r="X34" s="2"/>
      <c r="Y34" s="2"/>
      <c r="Z34" s="2"/>
      <c r="AA34" s="2"/>
      <c r="AB34" s="2"/>
      <c r="AC34" s="2"/>
    </row>
    <row r="35" spans="1:29" x14ac:dyDescent="0.35">
      <c r="A35" s="18"/>
      <c r="B35" s="19" t="s">
        <v>23</v>
      </c>
      <c r="C35" s="20">
        <v>216</v>
      </c>
      <c r="D35" s="21">
        <v>216</v>
      </c>
      <c r="E35" s="21">
        <v>216</v>
      </c>
      <c r="F35" s="21">
        <v>216</v>
      </c>
      <c r="G35" s="21">
        <v>216</v>
      </c>
      <c r="H35" s="21">
        <v>216</v>
      </c>
      <c r="I35" s="21">
        <v>216</v>
      </c>
      <c r="J35" s="21">
        <v>216</v>
      </c>
      <c r="K35" s="21">
        <v>216</v>
      </c>
      <c r="L35" s="21">
        <v>216</v>
      </c>
      <c r="M35" s="21">
        <v>216</v>
      </c>
      <c r="N35" s="21">
        <v>216</v>
      </c>
      <c r="O35" s="21">
        <v>216</v>
      </c>
      <c r="P35" s="21">
        <v>216</v>
      </c>
      <c r="Q35" s="21">
        <v>216</v>
      </c>
      <c r="R35" s="21">
        <v>216</v>
      </c>
      <c r="S35" s="21">
        <v>216</v>
      </c>
      <c r="T35" s="22">
        <v>216</v>
      </c>
      <c r="U35" s="2"/>
      <c r="V35" s="2"/>
      <c r="W35" s="2"/>
      <c r="X35" s="2"/>
      <c r="Y35" s="2"/>
      <c r="Z35" s="2"/>
      <c r="AA35" s="2"/>
      <c r="AB35" s="2"/>
      <c r="AC35" s="2"/>
    </row>
    <row r="36" spans="1:29" ht="34.5" x14ac:dyDescent="0.35">
      <c r="A36" s="18" t="s">
        <v>14</v>
      </c>
      <c r="B36" s="14" t="s">
        <v>21</v>
      </c>
      <c r="C36" s="27">
        <v>0.13225932044965444</v>
      </c>
      <c r="D36" s="16">
        <v>4.1873493148753528E-2</v>
      </c>
      <c r="E36" s="16">
        <v>7.7658381470659052E-2</v>
      </c>
      <c r="F36" s="16">
        <v>6.1315638927236744E-2</v>
      </c>
      <c r="G36" s="25" t="s">
        <v>181</v>
      </c>
      <c r="H36" s="25" t="s">
        <v>192</v>
      </c>
      <c r="I36" s="25" t="s">
        <v>201</v>
      </c>
      <c r="J36" s="16">
        <v>2.2519713377584679E-2</v>
      </c>
      <c r="K36" s="25" t="s">
        <v>214</v>
      </c>
      <c r="L36" s="25" t="s">
        <v>219</v>
      </c>
      <c r="M36" s="25" t="s">
        <v>223</v>
      </c>
      <c r="N36" s="24">
        <v>1</v>
      </c>
      <c r="O36" s="25" t="s">
        <v>229</v>
      </c>
      <c r="P36" s="25" t="s">
        <v>230</v>
      </c>
      <c r="Q36" s="25" t="s">
        <v>231</v>
      </c>
      <c r="R36" s="25" t="s">
        <v>232</v>
      </c>
      <c r="S36" s="25" t="s">
        <v>233</v>
      </c>
      <c r="T36" s="26" t="s">
        <v>234</v>
      </c>
      <c r="U36" s="2"/>
      <c r="V36" s="2"/>
      <c r="W36" s="2"/>
      <c r="X36" s="2"/>
      <c r="Y36" s="2"/>
      <c r="Z36" s="2"/>
      <c r="AA36" s="2"/>
      <c r="AB36" s="2"/>
      <c r="AC36" s="2"/>
    </row>
    <row r="37" spans="1:29" ht="23" x14ac:dyDescent="0.35">
      <c r="A37" s="13"/>
      <c r="B37" s="14" t="s">
        <v>22</v>
      </c>
      <c r="C37" s="27">
        <v>5.2250551994410054E-2</v>
      </c>
      <c r="D37" s="16">
        <v>0.54046513293657583</v>
      </c>
      <c r="E37" s="16">
        <v>0.25577459246119749</v>
      </c>
      <c r="F37" s="16">
        <v>0.36984307348346479</v>
      </c>
      <c r="G37" s="16">
        <v>3.5525842751460518E-5</v>
      </c>
      <c r="H37" s="16">
        <v>2.1795535164454709E-3</v>
      </c>
      <c r="I37" s="16">
        <v>4.2486873906008409E-2</v>
      </c>
      <c r="J37" s="16">
        <v>0.74208605709636433</v>
      </c>
      <c r="K37" s="16">
        <v>1.2582831210693392E-5</v>
      </c>
      <c r="L37" s="16">
        <v>1.0626715192964328E-5</v>
      </c>
      <c r="M37" s="16">
        <v>6.8828193816467312E-11</v>
      </c>
      <c r="N37" s="28"/>
      <c r="O37" s="16">
        <v>7.3465096078265135E-15</v>
      </c>
      <c r="P37" s="16">
        <v>8.3186820088475E-3</v>
      </c>
      <c r="Q37" s="16">
        <v>7.3306387067207634E-6</v>
      </c>
      <c r="R37" s="16">
        <v>1.6703470045664278E-30</v>
      </c>
      <c r="S37" s="16">
        <v>1.1706658928189826E-3</v>
      </c>
      <c r="T37" s="17">
        <v>6.2486483311303118E-16</v>
      </c>
      <c r="U37" s="2"/>
      <c r="V37" s="2"/>
      <c r="W37" s="2"/>
      <c r="X37" s="2"/>
      <c r="Y37" s="2"/>
      <c r="Z37" s="2"/>
      <c r="AA37" s="2"/>
      <c r="AB37" s="2"/>
      <c r="AC37" s="2"/>
    </row>
    <row r="38" spans="1:29" x14ac:dyDescent="0.35">
      <c r="A38" s="18"/>
      <c r="B38" s="19" t="s">
        <v>23</v>
      </c>
      <c r="C38" s="20">
        <v>216</v>
      </c>
      <c r="D38" s="21">
        <v>216</v>
      </c>
      <c r="E38" s="21">
        <v>216</v>
      </c>
      <c r="F38" s="21">
        <v>216</v>
      </c>
      <c r="G38" s="21">
        <v>216</v>
      </c>
      <c r="H38" s="21">
        <v>216</v>
      </c>
      <c r="I38" s="21">
        <v>216</v>
      </c>
      <c r="J38" s="21">
        <v>216</v>
      </c>
      <c r="K38" s="21">
        <v>216</v>
      </c>
      <c r="L38" s="21">
        <v>216</v>
      </c>
      <c r="M38" s="21">
        <v>216</v>
      </c>
      <c r="N38" s="21">
        <v>216</v>
      </c>
      <c r="O38" s="21">
        <v>216</v>
      </c>
      <c r="P38" s="21">
        <v>216</v>
      </c>
      <c r="Q38" s="21">
        <v>216</v>
      </c>
      <c r="R38" s="21">
        <v>216</v>
      </c>
      <c r="S38" s="21">
        <v>216</v>
      </c>
      <c r="T38" s="22">
        <v>216</v>
      </c>
      <c r="U38" s="2"/>
      <c r="V38" s="2"/>
      <c r="W38" s="2"/>
      <c r="X38" s="2"/>
      <c r="Y38" s="2"/>
      <c r="Z38" s="2"/>
      <c r="AA38" s="2"/>
      <c r="AB38" s="2"/>
      <c r="AC38" s="2"/>
    </row>
    <row r="39" spans="1:29" ht="34.5" x14ac:dyDescent="0.35">
      <c r="A39" s="18" t="s">
        <v>15</v>
      </c>
      <c r="B39" s="14" t="s">
        <v>21</v>
      </c>
      <c r="C39" s="23" t="s">
        <v>143</v>
      </c>
      <c r="D39" s="16">
        <v>6.1533941924067144E-2</v>
      </c>
      <c r="E39" s="25" t="s">
        <v>163</v>
      </c>
      <c r="F39" s="25" t="s">
        <v>166</v>
      </c>
      <c r="G39" s="25" t="s">
        <v>182</v>
      </c>
      <c r="H39" s="25" t="s">
        <v>193</v>
      </c>
      <c r="I39" s="25" t="s">
        <v>202</v>
      </c>
      <c r="J39" s="16">
        <v>0.11438727042502038</v>
      </c>
      <c r="K39" s="25" t="s">
        <v>194</v>
      </c>
      <c r="L39" s="16">
        <v>3.9225013315070355E-2</v>
      </c>
      <c r="M39" s="25" t="s">
        <v>224</v>
      </c>
      <c r="N39" s="25" t="s">
        <v>229</v>
      </c>
      <c r="O39" s="24">
        <v>1</v>
      </c>
      <c r="P39" s="25" t="s">
        <v>235</v>
      </c>
      <c r="Q39" s="25" t="s">
        <v>236</v>
      </c>
      <c r="R39" s="25" t="s">
        <v>141</v>
      </c>
      <c r="S39" s="25" t="s">
        <v>193</v>
      </c>
      <c r="T39" s="26" t="s">
        <v>237</v>
      </c>
      <c r="U39" s="2"/>
      <c r="V39" s="2"/>
      <c r="W39" s="2"/>
      <c r="X39" s="2"/>
      <c r="Y39" s="2"/>
      <c r="Z39" s="2"/>
      <c r="AA39" s="2"/>
      <c r="AB39" s="2"/>
      <c r="AC39" s="2"/>
    </row>
    <row r="40" spans="1:29" ht="23" x14ac:dyDescent="0.35">
      <c r="A40" s="13"/>
      <c r="B40" s="14" t="s">
        <v>22</v>
      </c>
      <c r="C40" s="27">
        <v>2.8841150580180346E-4</v>
      </c>
      <c r="D40" s="16">
        <v>0.36813824901304326</v>
      </c>
      <c r="E40" s="16">
        <v>8.0097698683192456E-4</v>
      </c>
      <c r="F40" s="16">
        <v>4.8070957289794249E-6</v>
      </c>
      <c r="G40" s="16">
        <v>1.2498116433866667E-4</v>
      </c>
      <c r="H40" s="16">
        <v>6.7080228885008963E-6</v>
      </c>
      <c r="I40" s="16">
        <v>7.5728269522817972E-7</v>
      </c>
      <c r="J40" s="16">
        <v>9.3562749862035055E-2</v>
      </c>
      <c r="K40" s="16">
        <v>1.2022840423087046E-9</v>
      </c>
      <c r="L40" s="16">
        <v>0.5663987627593674</v>
      </c>
      <c r="M40" s="16">
        <v>8.1629518425213865E-7</v>
      </c>
      <c r="N40" s="16">
        <v>7.3465096078265135E-15</v>
      </c>
      <c r="O40" s="28"/>
      <c r="P40" s="16">
        <v>2.2174130381744196E-8</v>
      </c>
      <c r="Q40" s="16">
        <v>3.407786930721067E-13</v>
      </c>
      <c r="R40" s="16">
        <v>4.3796284525983727E-6</v>
      </c>
      <c r="S40" s="16">
        <v>6.5741279171350923E-6</v>
      </c>
      <c r="T40" s="17">
        <v>9.748100559084928E-20</v>
      </c>
      <c r="U40" s="2"/>
      <c r="V40" s="2"/>
      <c r="W40" s="2"/>
      <c r="X40" s="2"/>
      <c r="Y40" s="2"/>
      <c r="Z40" s="2"/>
      <c r="AA40" s="2"/>
      <c r="AB40" s="2"/>
      <c r="AC40" s="2"/>
    </row>
    <row r="41" spans="1:29" x14ac:dyDescent="0.35">
      <c r="A41" s="18"/>
      <c r="B41" s="19" t="s">
        <v>23</v>
      </c>
      <c r="C41" s="20">
        <v>216</v>
      </c>
      <c r="D41" s="21">
        <v>216</v>
      </c>
      <c r="E41" s="21">
        <v>216</v>
      </c>
      <c r="F41" s="21">
        <v>216</v>
      </c>
      <c r="G41" s="21">
        <v>216</v>
      </c>
      <c r="H41" s="21">
        <v>216</v>
      </c>
      <c r="I41" s="21">
        <v>216</v>
      </c>
      <c r="J41" s="21">
        <v>216</v>
      </c>
      <c r="K41" s="21">
        <v>216</v>
      </c>
      <c r="L41" s="21">
        <v>216</v>
      </c>
      <c r="M41" s="21">
        <v>216</v>
      </c>
      <c r="N41" s="21">
        <v>216</v>
      </c>
      <c r="O41" s="21">
        <v>216</v>
      </c>
      <c r="P41" s="21">
        <v>216</v>
      </c>
      <c r="Q41" s="21">
        <v>216</v>
      </c>
      <c r="R41" s="21">
        <v>216</v>
      </c>
      <c r="S41" s="21">
        <v>216</v>
      </c>
      <c r="T41" s="22">
        <v>216</v>
      </c>
      <c r="U41" s="2"/>
      <c r="V41" s="2"/>
      <c r="W41" s="2"/>
      <c r="X41" s="2"/>
      <c r="Y41" s="2"/>
      <c r="Z41" s="2"/>
      <c r="AA41" s="2"/>
      <c r="AB41" s="2"/>
      <c r="AC41" s="2"/>
    </row>
    <row r="42" spans="1:29" ht="34.5" x14ac:dyDescent="0.35">
      <c r="A42" s="18" t="s">
        <v>16</v>
      </c>
      <c r="B42" s="14" t="s">
        <v>21</v>
      </c>
      <c r="C42" s="23" t="s">
        <v>144</v>
      </c>
      <c r="D42" s="16">
        <v>9.4113248441661121E-2</v>
      </c>
      <c r="E42" s="25" t="s">
        <v>164</v>
      </c>
      <c r="F42" s="25" t="s">
        <v>135</v>
      </c>
      <c r="G42" s="25" t="s">
        <v>183</v>
      </c>
      <c r="H42" s="25" t="s">
        <v>194</v>
      </c>
      <c r="I42" s="25" t="s">
        <v>203</v>
      </c>
      <c r="J42" s="25" t="s">
        <v>210</v>
      </c>
      <c r="K42" s="25" t="s">
        <v>215</v>
      </c>
      <c r="L42" s="16">
        <v>2.0959509601950237E-2</v>
      </c>
      <c r="M42" s="25" t="s">
        <v>225</v>
      </c>
      <c r="N42" s="25" t="s">
        <v>230</v>
      </c>
      <c r="O42" s="25" t="s">
        <v>235</v>
      </c>
      <c r="P42" s="24">
        <v>1</v>
      </c>
      <c r="Q42" s="25" t="s">
        <v>238</v>
      </c>
      <c r="R42" s="25" t="s">
        <v>174</v>
      </c>
      <c r="S42" s="25" t="s">
        <v>239</v>
      </c>
      <c r="T42" s="26" t="s">
        <v>240</v>
      </c>
      <c r="U42" s="2"/>
      <c r="V42" s="2"/>
      <c r="W42" s="2"/>
      <c r="X42" s="2"/>
      <c r="Y42" s="2"/>
      <c r="Z42" s="2"/>
      <c r="AA42" s="2"/>
      <c r="AB42" s="2"/>
      <c r="AC42" s="2"/>
    </row>
    <row r="43" spans="1:29" ht="23" x14ac:dyDescent="0.35">
      <c r="A43" s="13"/>
      <c r="B43" s="14" t="s">
        <v>22</v>
      </c>
      <c r="C43" s="27">
        <v>2.2639392686608467E-4</v>
      </c>
      <c r="D43" s="16">
        <v>0.16813795433143924</v>
      </c>
      <c r="E43" s="16">
        <v>7.4842233196119621E-9</v>
      </c>
      <c r="F43" s="16">
        <v>7.2099076971338815E-10</v>
      </c>
      <c r="G43" s="16">
        <v>2.34539063899921E-10</v>
      </c>
      <c r="H43" s="16">
        <v>1.1310249287132872E-9</v>
      </c>
      <c r="I43" s="16">
        <v>1.4809624890606989E-9</v>
      </c>
      <c r="J43" s="16">
        <v>1.9745445842823455E-3</v>
      </c>
      <c r="K43" s="16">
        <v>1.7014927346893152E-2</v>
      </c>
      <c r="L43" s="16">
        <v>0.75938623733272737</v>
      </c>
      <c r="M43" s="16">
        <v>1.4145624030753993E-8</v>
      </c>
      <c r="N43" s="16">
        <v>8.3186820088475E-3</v>
      </c>
      <c r="O43" s="16">
        <v>2.2174130381744196E-8</v>
      </c>
      <c r="P43" s="28"/>
      <c r="Q43" s="16">
        <v>1.9882281275989948E-34</v>
      </c>
      <c r="R43" s="16">
        <v>2.1166759957418944E-4</v>
      </c>
      <c r="S43" s="16">
        <v>3.0257617593236549E-6</v>
      </c>
      <c r="T43" s="17">
        <v>2.7892608033030887E-23</v>
      </c>
      <c r="U43" s="2"/>
      <c r="V43" s="2"/>
      <c r="W43" s="2"/>
      <c r="X43" s="2"/>
      <c r="Y43" s="2"/>
      <c r="Z43" s="2"/>
      <c r="AA43" s="2"/>
      <c r="AB43" s="2"/>
      <c r="AC43" s="2"/>
    </row>
    <row r="44" spans="1:29" x14ac:dyDescent="0.35">
      <c r="A44" s="18"/>
      <c r="B44" s="19" t="s">
        <v>23</v>
      </c>
      <c r="C44" s="20">
        <v>216</v>
      </c>
      <c r="D44" s="21">
        <v>216</v>
      </c>
      <c r="E44" s="21">
        <v>216</v>
      </c>
      <c r="F44" s="21">
        <v>216</v>
      </c>
      <c r="G44" s="21">
        <v>216</v>
      </c>
      <c r="H44" s="21">
        <v>216</v>
      </c>
      <c r="I44" s="21">
        <v>216</v>
      </c>
      <c r="J44" s="21">
        <v>216</v>
      </c>
      <c r="K44" s="21">
        <v>216</v>
      </c>
      <c r="L44" s="21">
        <v>216</v>
      </c>
      <c r="M44" s="21">
        <v>216</v>
      </c>
      <c r="N44" s="21">
        <v>216</v>
      </c>
      <c r="O44" s="21">
        <v>216</v>
      </c>
      <c r="P44" s="21">
        <v>216</v>
      </c>
      <c r="Q44" s="21">
        <v>216</v>
      </c>
      <c r="R44" s="21">
        <v>216</v>
      </c>
      <c r="S44" s="21">
        <v>216</v>
      </c>
      <c r="T44" s="22">
        <v>216</v>
      </c>
      <c r="U44" s="2"/>
      <c r="V44" s="2"/>
      <c r="W44" s="2"/>
      <c r="X44" s="2"/>
      <c r="Y44" s="2"/>
      <c r="Z44" s="2"/>
      <c r="AA44" s="2"/>
      <c r="AB44" s="2"/>
      <c r="AC44" s="2"/>
    </row>
    <row r="45" spans="1:29" ht="34.5" x14ac:dyDescent="0.35">
      <c r="A45" s="18" t="s">
        <v>17</v>
      </c>
      <c r="B45" s="14" t="s">
        <v>21</v>
      </c>
      <c r="C45" s="23" t="s">
        <v>145</v>
      </c>
      <c r="D45" s="16">
        <v>8.227754044694667E-2</v>
      </c>
      <c r="E45" s="25" t="s">
        <v>165</v>
      </c>
      <c r="F45" s="25" t="s">
        <v>173</v>
      </c>
      <c r="G45" s="25" t="s">
        <v>184</v>
      </c>
      <c r="H45" s="25" t="s">
        <v>195</v>
      </c>
      <c r="I45" s="25" t="s">
        <v>204</v>
      </c>
      <c r="J45" s="25" t="s">
        <v>146</v>
      </c>
      <c r="K45" s="16">
        <v>0.12352229263868669</v>
      </c>
      <c r="L45" s="16">
        <v>8.7829922252033468E-2</v>
      </c>
      <c r="M45" s="25" t="s">
        <v>226</v>
      </c>
      <c r="N45" s="25" t="s">
        <v>231</v>
      </c>
      <c r="O45" s="25" t="s">
        <v>236</v>
      </c>
      <c r="P45" s="25" t="s">
        <v>238</v>
      </c>
      <c r="Q45" s="24">
        <v>1</v>
      </c>
      <c r="R45" s="25" t="s">
        <v>241</v>
      </c>
      <c r="S45" s="16">
        <v>0.1237353919966213</v>
      </c>
      <c r="T45" s="26" t="s">
        <v>242</v>
      </c>
      <c r="U45" s="2"/>
      <c r="V45" s="2"/>
      <c r="W45" s="2"/>
      <c r="X45" s="2"/>
      <c r="Y45" s="2"/>
      <c r="Z45" s="2"/>
      <c r="AA45" s="2"/>
      <c r="AB45" s="2"/>
      <c r="AC45" s="2"/>
    </row>
    <row r="46" spans="1:29" ht="23" x14ac:dyDescent="0.35">
      <c r="A46" s="13"/>
      <c r="B46" s="14" t="s">
        <v>22</v>
      </c>
      <c r="C46" s="27">
        <v>3.5566918914384406E-4</v>
      </c>
      <c r="D46" s="16">
        <v>0.22849130542643711</v>
      </c>
      <c r="E46" s="16">
        <v>1.4784958445428634E-7</v>
      </c>
      <c r="F46" s="16">
        <v>6.3863983143136463E-9</v>
      </c>
      <c r="G46" s="16">
        <v>6.0289848136807923E-3</v>
      </c>
      <c r="H46" s="16">
        <v>2.2750779340750836E-2</v>
      </c>
      <c r="I46" s="16">
        <v>3.9000990231077931E-6</v>
      </c>
      <c r="J46" s="16">
        <v>4.3658548337914957E-3</v>
      </c>
      <c r="K46" s="16">
        <v>7.0015496800953772E-2</v>
      </c>
      <c r="L46" s="16">
        <v>0.19850337004275079</v>
      </c>
      <c r="M46" s="16">
        <v>2.2964840135805698E-9</v>
      </c>
      <c r="N46" s="16">
        <v>7.3306387067207634E-6</v>
      </c>
      <c r="O46" s="16">
        <v>3.407786930721067E-13</v>
      </c>
      <c r="P46" s="16">
        <v>1.9882281275989948E-34</v>
      </c>
      <c r="Q46" s="28"/>
      <c r="R46" s="16">
        <v>3.1575028323741534E-5</v>
      </c>
      <c r="S46" s="16">
        <v>6.9530003411444288E-2</v>
      </c>
      <c r="T46" s="17">
        <v>3.7276017892167427E-18</v>
      </c>
      <c r="U46" s="2"/>
      <c r="V46" s="2"/>
      <c r="W46" s="2"/>
      <c r="X46" s="2"/>
      <c r="Y46" s="2"/>
      <c r="Z46" s="2"/>
      <c r="AA46" s="2"/>
      <c r="AB46" s="2"/>
      <c r="AC46" s="2"/>
    </row>
    <row r="47" spans="1:29" x14ac:dyDescent="0.35">
      <c r="A47" s="18"/>
      <c r="B47" s="19" t="s">
        <v>23</v>
      </c>
      <c r="C47" s="20">
        <v>216</v>
      </c>
      <c r="D47" s="21">
        <v>216</v>
      </c>
      <c r="E47" s="21">
        <v>216</v>
      </c>
      <c r="F47" s="21">
        <v>216</v>
      </c>
      <c r="G47" s="21">
        <v>216</v>
      </c>
      <c r="H47" s="21">
        <v>216</v>
      </c>
      <c r="I47" s="21">
        <v>216</v>
      </c>
      <c r="J47" s="21">
        <v>216</v>
      </c>
      <c r="K47" s="21">
        <v>216</v>
      </c>
      <c r="L47" s="21">
        <v>216</v>
      </c>
      <c r="M47" s="21">
        <v>216</v>
      </c>
      <c r="N47" s="21">
        <v>216</v>
      </c>
      <c r="O47" s="21">
        <v>216</v>
      </c>
      <c r="P47" s="21">
        <v>216</v>
      </c>
      <c r="Q47" s="21">
        <v>216</v>
      </c>
      <c r="R47" s="21">
        <v>216</v>
      </c>
      <c r="S47" s="21">
        <v>216</v>
      </c>
      <c r="T47" s="22">
        <v>216</v>
      </c>
      <c r="U47" s="2"/>
      <c r="V47" s="2"/>
      <c r="W47" s="2"/>
      <c r="X47" s="2"/>
      <c r="Y47" s="2"/>
      <c r="Z47" s="2"/>
      <c r="AA47" s="2"/>
      <c r="AB47" s="2"/>
      <c r="AC47" s="2"/>
    </row>
    <row r="48" spans="1:29" ht="34.5" x14ac:dyDescent="0.35">
      <c r="A48" s="18" t="s">
        <v>18</v>
      </c>
      <c r="B48" s="14" t="s">
        <v>21</v>
      </c>
      <c r="C48" s="23" t="s">
        <v>146</v>
      </c>
      <c r="D48" s="16">
        <v>6.8667708623283738E-2</v>
      </c>
      <c r="E48" s="16">
        <v>0.11772545457035177</v>
      </c>
      <c r="F48" s="25" t="s">
        <v>162</v>
      </c>
      <c r="G48" s="25" t="s">
        <v>185</v>
      </c>
      <c r="H48" s="25" t="s">
        <v>196</v>
      </c>
      <c r="I48" s="25" t="s">
        <v>205</v>
      </c>
      <c r="J48" s="16">
        <v>0.13276097546822885</v>
      </c>
      <c r="K48" s="25" t="s">
        <v>216</v>
      </c>
      <c r="L48" s="25" t="s">
        <v>220</v>
      </c>
      <c r="M48" s="25" t="s">
        <v>227</v>
      </c>
      <c r="N48" s="25" t="s">
        <v>232</v>
      </c>
      <c r="O48" s="25" t="s">
        <v>141</v>
      </c>
      <c r="P48" s="25" t="s">
        <v>174</v>
      </c>
      <c r="Q48" s="25" t="s">
        <v>241</v>
      </c>
      <c r="R48" s="24">
        <v>1</v>
      </c>
      <c r="S48" s="16">
        <v>6.1459501551116347E-2</v>
      </c>
      <c r="T48" s="26" t="s">
        <v>243</v>
      </c>
      <c r="U48" s="2"/>
      <c r="V48" s="2"/>
      <c r="W48" s="2"/>
      <c r="X48" s="2"/>
      <c r="Y48" s="2"/>
      <c r="Z48" s="2"/>
      <c r="AA48" s="2"/>
      <c r="AB48" s="2"/>
      <c r="AC48" s="2"/>
    </row>
    <row r="49" spans="1:29" ht="23" x14ac:dyDescent="0.35">
      <c r="A49" s="13"/>
      <c r="B49" s="14" t="s">
        <v>22</v>
      </c>
      <c r="C49" s="27">
        <v>4.3686642561607501E-3</v>
      </c>
      <c r="D49" s="16">
        <v>0.31512061038706013</v>
      </c>
      <c r="E49" s="16">
        <v>8.4316509587391938E-2</v>
      </c>
      <c r="F49" s="16">
        <v>3.8224513071302519E-3</v>
      </c>
      <c r="G49" s="16">
        <v>4.9291063425458302E-3</v>
      </c>
      <c r="H49" s="16">
        <v>1.098228956414516E-2</v>
      </c>
      <c r="I49" s="16">
        <v>3.2850286129788202E-4</v>
      </c>
      <c r="J49" s="16">
        <v>5.1356141208981354E-2</v>
      </c>
      <c r="K49" s="16">
        <v>9.0645698028768246E-11</v>
      </c>
      <c r="L49" s="16">
        <v>1.6632203468819557E-7</v>
      </c>
      <c r="M49" s="16">
        <v>1.3037437522646263E-13</v>
      </c>
      <c r="N49" s="16">
        <v>1.6703470045664278E-30</v>
      </c>
      <c r="O49" s="16">
        <v>4.3796284525983727E-6</v>
      </c>
      <c r="P49" s="16">
        <v>2.1166759957418944E-4</v>
      </c>
      <c r="Q49" s="16">
        <v>3.1575028323741534E-5</v>
      </c>
      <c r="R49" s="28"/>
      <c r="S49" s="16">
        <v>0.36871904012808476</v>
      </c>
      <c r="T49" s="17">
        <v>1.222807449292685E-17</v>
      </c>
      <c r="U49" s="2"/>
      <c r="V49" s="2"/>
      <c r="W49" s="2"/>
      <c r="X49" s="2"/>
      <c r="Y49" s="2"/>
      <c r="Z49" s="2"/>
      <c r="AA49" s="2"/>
      <c r="AB49" s="2"/>
      <c r="AC49" s="2"/>
    </row>
    <row r="50" spans="1:29" x14ac:dyDescent="0.35">
      <c r="A50" s="18"/>
      <c r="B50" s="19" t="s">
        <v>23</v>
      </c>
      <c r="C50" s="20">
        <v>216</v>
      </c>
      <c r="D50" s="21">
        <v>216</v>
      </c>
      <c r="E50" s="21">
        <v>216</v>
      </c>
      <c r="F50" s="21">
        <v>216</v>
      </c>
      <c r="G50" s="21">
        <v>216</v>
      </c>
      <c r="H50" s="21">
        <v>216</v>
      </c>
      <c r="I50" s="21">
        <v>216</v>
      </c>
      <c r="J50" s="21">
        <v>216</v>
      </c>
      <c r="K50" s="21">
        <v>216</v>
      </c>
      <c r="L50" s="21">
        <v>216</v>
      </c>
      <c r="M50" s="21">
        <v>216</v>
      </c>
      <c r="N50" s="21">
        <v>216</v>
      </c>
      <c r="O50" s="21">
        <v>216</v>
      </c>
      <c r="P50" s="21">
        <v>216</v>
      </c>
      <c r="Q50" s="21">
        <v>216</v>
      </c>
      <c r="R50" s="21">
        <v>216</v>
      </c>
      <c r="S50" s="21">
        <v>216</v>
      </c>
      <c r="T50" s="22">
        <v>216</v>
      </c>
      <c r="U50" s="2"/>
      <c r="V50" s="2"/>
      <c r="W50" s="2"/>
      <c r="X50" s="2"/>
      <c r="Y50" s="2"/>
      <c r="Z50" s="2"/>
      <c r="AA50" s="2"/>
      <c r="AB50" s="2"/>
      <c r="AC50" s="2"/>
    </row>
    <row r="51" spans="1:29" ht="34.5" x14ac:dyDescent="0.35">
      <c r="A51" s="18" t="s">
        <v>19</v>
      </c>
      <c r="B51" s="14" t="s">
        <v>21</v>
      </c>
      <c r="C51" s="23" t="s">
        <v>147</v>
      </c>
      <c r="D51" s="25" t="s">
        <v>156</v>
      </c>
      <c r="E51" s="25" t="s">
        <v>166</v>
      </c>
      <c r="F51" s="25" t="s">
        <v>174</v>
      </c>
      <c r="G51" s="25" t="s">
        <v>186</v>
      </c>
      <c r="H51" s="25" t="s">
        <v>197</v>
      </c>
      <c r="I51" s="25" t="s">
        <v>206</v>
      </c>
      <c r="J51" s="25" t="s">
        <v>191</v>
      </c>
      <c r="K51" s="25" t="s">
        <v>190</v>
      </c>
      <c r="L51" s="25" t="s">
        <v>221</v>
      </c>
      <c r="M51" s="25" t="s">
        <v>150</v>
      </c>
      <c r="N51" s="25" t="s">
        <v>233</v>
      </c>
      <c r="O51" s="25" t="s">
        <v>193</v>
      </c>
      <c r="P51" s="25" t="s">
        <v>239</v>
      </c>
      <c r="Q51" s="16">
        <v>0.1237353919966213</v>
      </c>
      <c r="R51" s="16">
        <v>6.1459501551116347E-2</v>
      </c>
      <c r="S51" s="24">
        <v>1</v>
      </c>
      <c r="T51" s="26" t="s">
        <v>244</v>
      </c>
      <c r="U51" s="2"/>
      <c r="V51" s="2"/>
      <c r="W51" s="2"/>
      <c r="X51" s="2"/>
      <c r="Y51" s="2"/>
      <c r="Z51" s="2"/>
      <c r="AA51" s="2"/>
      <c r="AB51" s="2"/>
      <c r="AC51" s="2"/>
    </row>
    <row r="52" spans="1:29" ht="23" x14ac:dyDescent="0.35">
      <c r="A52" s="13"/>
      <c r="B52" s="14" t="s">
        <v>22</v>
      </c>
      <c r="C52" s="27">
        <v>2.7175639297184258E-8</v>
      </c>
      <c r="D52" s="16">
        <v>8.6927453209093995E-4</v>
      </c>
      <c r="E52" s="16">
        <v>4.8937122043468702E-6</v>
      </c>
      <c r="F52" s="16">
        <v>2.0495462906491643E-4</v>
      </c>
      <c r="G52" s="16">
        <v>4.4223626949933185E-20</v>
      </c>
      <c r="H52" s="16">
        <v>7.2611028265823725E-19</v>
      </c>
      <c r="I52" s="16">
        <v>6.1493883068469534E-7</v>
      </c>
      <c r="J52" s="16">
        <v>1.9339416295596693E-6</v>
      </c>
      <c r="K52" s="16">
        <v>4.1243221473925278E-2</v>
      </c>
      <c r="L52" s="16">
        <v>5.4000688515776402E-7</v>
      </c>
      <c r="M52" s="16">
        <v>1.721324787758532E-3</v>
      </c>
      <c r="N52" s="16">
        <v>1.1706658928189826E-3</v>
      </c>
      <c r="O52" s="16">
        <v>6.5741279171350923E-6</v>
      </c>
      <c r="P52" s="16">
        <v>3.0257617593236549E-6</v>
      </c>
      <c r="Q52" s="16">
        <v>6.9530003411444288E-2</v>
      </c>
      <c r="R52" s="16">
        <v>0.36871904012808476</v>
      </c>
      <c r="S52" s="28"/>
      <c r="T52" s="17">
        <v>3.7367135169336125E-22</v>
      </c>
      <c r="U52" s="2"/>
      <c r="V52" s="2"/>
      <c r="W52" s="2"/>
      <c r="X52" s="2"/>
      <c r="Y52" s="2"/>
      <c r="Z52" s="2"/>
      <c r="AA52" s="2"/>
      <c r="AB52" s="2"/>
      <c r="AC52" s="2"/>
    </row>
    <row r="53" spans="1:29" x14ac:dyDescent="0.35">
      <c r="A53" s="18"/>
      <c r="B53" s="19" t="s">
        <v>23</v>
      </c>
      <c r="C53" s="20">
        <v>216</v>
      </c>
      <c r="D53" s="21">
        <v>216</v>
      </c>
      <c r="E53" s="21">
        <v>216</v>
      </c>
      <c r="F53" s="21">
        <v>216</v>
      </c>
      <c r="G53" s="21">
        <v>216</v>
      </c>
      <c r="H53" s="21">
        <v>216</v>
      </c>
      <c r="I53" s="21">
        <v>216</v>
      </c>
      <c r="J53" s="21">
        <v>216</v>
      </c>
      <c r="K53" s="21">
        <v>216</v>
      </c>
      <c r="L53" s="21">
        <v>216</v>
      </c>
      <c r="M53" s="21">
        <v>216</v>
      </c>
      <c r="N53" s="21">
        <v>216</v>
      </c>
      <c r="O53" s="21">
        <v>216</v>
      </c>
      <c r="P53" s="21">
        <v>216</v>
      </c>
      <c r="Q53" s="21">
        <v>216</v>
      </c>
      <c r="R53" s="21">
        <v>216</v>
      </c>
      <c r="S53" s="21">
        <v>216</v>
      </c>
      <c r="T53" s="22">
        <v>216</v>
      </c>
      <c r="U53" s="2"/>
      <c r="V53" s="2"/>
      <c r="W53" s="2"/>
      <c r="X53" s="2"/>
      <c r="Y53" s="2"/>
      <c r="Z53" s="2"/>
      <c r="AA53" s="2"/>
      <c r="AB53" s="2"/>
      <c r="AC53" s="2"/>
    </row>
    <row r="54" spans="1:29" ht="34.5" x14ac:dyDescent="0.35">
      <c r="A54" s="18" t="s">
        <v>20</v>
      </c>
      <c r="B54" s="14" t="s">
        <v>21</v>
      </c>
      <c r="C54" s="23" t="s">
        <v>148</v>
      </c>
      <c r="D54" s="25" t="s">
        <v>157</v>
      </c>
      <c r="E54" s="25" t="s">
        <v>167</v>
      </c>
      <c r="F54" s="25" t="s">
        <v>175</v>
      </c>
      <c r="G54" s="25" t="s">
        <v>187</v>
      </c>
      <c r="H54" s="25" t="s">
        <v>198</v>
      </c>
      <c r="I54" s="25" t="s">
        <v>207</v>
      </c>
      <c r="J54" s="25" t="s">
        <v>211</v>
      </c>
      <c r="K54" s="25" t="s">
        <v>217</v>
      </c>
      <c r="L54" s="25" t="s">
        <v>222</v>
      </c>
      <c r="M54" s="25" t="s">
        <v>228</v>
      </c>
      <c r="N54" s="25" t="s">
        <v>234</v>
      </c>
      <c r="O54" s="25" t="s">
        <v>237</v>
      </c>
      <c r="P54" s="25" t="s">
        <v>240</v>
      </c>
      <c r="Q54" s="25" t="s">
        <v>242</v>
      </c>
      <c r="R54" s="25" t="s">
        <v>243</v>
      </c>
      <c r="S54" s="25" t="s">
        <v>244</v>
      </c>
      <c r="T54" s="29">
        <v>1</v>
      </c>
      <c r="U54" s="2"/>
      <c r="V54" s="2"/>
      <c r="W54" s="2"/>
      <c r="X54" s="2"/>
      <c r="Y54" s="2"/>
      <c r="Z54" s="2"/>
      <c r="AA54" s="2"/>
      <c r="AB54" s="2"/>
      <c r="AC54" s="2"/>
    </row>
    <row r="55" spans="1:29" ht="23" x14ac:dyDescent="0.35">
      <c r="A55" s="13"/>
      <c r="B55" s="14" t="s">
        <v>22</v>
      </c>
      <c r="C55" s="27">
        <v>6.614333271255473E-27</v>
      </c>
      <c r="D55" s="16">
        <v>2.8148744051184013E-10</v>
      </c>
      <c r="E55" s="16">
        <v>6.2408747745384285E-21</v>
      </c>
      <c r="F55" s="16">
        <v>3.4695435307394808E-26</v>
      </c>
      <c r="G55" s="16">
        <v>1.1922052549109607E-25</v>
      </c>
      <c r="H55" s="16">
        <v>4.348740522458662E-28</v>
      </c>
      <c r="I55" s="16">
        <v>3.6644216076482962E-27</v>
      </c>
      <c r="J55" s="16">
        <v>1.6594173281172403E-14</v>
      </c>
      <c r="K55" s="16">
        <v>6.4391354569551512E-13</v>
      </c>
      <c r="L55" s="16">
        <v>6.0149782930191353E-12</v>
      </c>
      <c r="M55" s="16">
        <v>1.4361485997186027E-24</v>
      </c>
      <c r="N55" s="16">
        <v>6.2486483311303118E-16</v>
      </c>
      <c r="O55" s="16">
        <v>9.748100559084928E-20</v>
      </c>
      <c r="P55" s="16">
        <v>2.7892608033030887E-23</v>
      </c>
      <c r="Q55" s="16">
        <v>3.7276017892167427E-18</v>
      </c>
      <c r="R55" s="16">
        <v>1.222807449292685E-17</v>
      </c>
      <c r="S55" s="16">
        <v>3.7367135169336125E-22</v>
      </c>
      <c r="T55" s="30"/>
      <c r="U55" s="2"/>
      <c r="V55" s="2"/>
      <c r="W55" s="2"/>
      <c r="X55" s="2"/>
      <c r="Y55" s="2"/>
      <c r="Z55" s="2"/>
      <c r="AA55" s="2"/>
      <c r="AB55" s="2"/>
      <c r="AC55" s="2"/>
    </row>
    <row r="56" spans="1:29" x14ac:dyDescent="0.35">
      <c r="A56" s="31"/>
      <c r="B56" s="32" t="s">
        <v>23</v>
      </c>
      <c r="C56" s="33">
        <v>216</v>
      </c>
      <c r="D56" s="34">
        <v>216</v>
      </c>
      <c r="E56" s="34">
        <v>216</v>
      </c>
      <c r="F56" s="34">
        <v>216</v>
      </c>
      <c r="G56" s="34">
        <v>216</v>
      </c>
      <c r="H56" s="34">
        <v>216</v>
      </c>
      <c r="I56" s="34">
        <v>216</v>
      </c>
      <c r="J56" s="34">
        <v>216</v>
      </c>
      <c r="K56" s="34">
        <v>216</v>
      </c>
      <c r="L56" s="34">
        <v>216</v>
      </c>
      <c r="M56" s="34">
        <v>216</v>
      </c>
      <c r="N56" s="34">
        <v>216</v>
      </c>
      <c r="O56" s="34">
        <v>216</v>
      </c>
      <c r="P56" s="34">
        <v>216</v>
      </c>
      <c r="Q56" s="34">
        <v>216</v>
      </c>
      <c r="R56" s="34">
        <v>216</v>
      </c>
      <c r="S56" s="34">
        <v>216</v>
      </c>
      <c r="T56" s="35">
        <v>216</v>
      </c>
      <c r="U56" s="2"/>
      <c r="V56" s="2"/>
      <c r="W56" s="2"/>
      <c r="X56" s="2"/>
      <c r="Y56" s="2"/>
      <c r="Z56" s="2"/>
      <c r="AA56" s="2"/>
      <c r="AB56" s="2"/>
      <c r="AC56" s="2"/>
    </row>
    <row r="57" spans="1:29" x14ac:dyDescent="0.35">
      <c r="A57" s="36" t="s">
        <v>24</v>
      </c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2"/>
      <c r="V57" s="2"/>
      <c r="W57" s="2"/>
      <c r="X57" s="2"/>
      <c r="Y57" s="2"/>
      <c r="Z57" s="2"/>
      <c r="AA57" s="2"/>
      <c r="AB57" s="2"/>
      <c r="AC57" s="2"/>
    </row>
    <row r="58" spans="1:29" x14ac:dyDescent="0.35">
      <c r="A58" s="36" t="s">
        <v>25</v>
      </c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2"/>
      <c r="V58" s="2"/>
      <c r="W58" s="2"/>
      <c r="X58" s="2"/>
      <c r="Y58" s="2"/>
      <c r="Z58" s="2"/>
      <c r="AA58" s="2"/>
      <c r="AB58" s="2"/>
      <c r="AC58" s="2"/>
    </row>
    <row r="59" spans="1:29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x14ac:dyDescent="0.35">
      <c r="A60" s="1" t="s">
        <v>2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2"/>
      <c r="X60" s="2"/>
      <c r="Y60" s="2"/>
      <c r="Z60" s="2"/>
      <c r="AA60" s="2"/>
      <c r="AB60" s="2"/>
      <c r="AC60" s="2"/>
    </row>
    <row r="61" spans="1:29" ht="24" x14ac:dyDescent="0.35">
      <c r="A61" s="3" t="s">
        <v>1</v>
      </c>
      <c r="B61" s="3"/>
      <c r="C61" s="4" t="s">
        <v>26</v>
      </c>
      <c r="D61" s="5" t="s">
        <v>27</v>
      </c>
      <c r="E61" s="5" t="s">
        <v>28</v>
      </c>
      <c r="F61" s="5" t="s">
        <v>29</v>
      </c>
      <c r="G61" s="5" t="s">
        <v>30</v>
      </c>
      <c r="H61" s="5" t="s">
        <v>31</v>
      </c>
      <c r="I61" s="5" t="s">
        <v>32</v>
      </c>
      <c r="J61" s="5" t="s">
        <v>33</v>
      </c>
      <c r="K61" s="5" t="s">
        <v>34</v>
      </c>
      <c r="L61" s="5" t="s">
        <v>35</v>
      </c>
      <c r="M61" s="5" t="s">
        <v>36</v>
      </c>
      <c r="N61" s="5" t="s">
        <v>37</v>
      </c>
      <c r="O61" s="5" t="s">
        <v>38</v>
      </c>
      <c r="P61" s="5" t="s">
        <v>39</v>
      </c>
      <c r="Q61" s="5" t="s">
        <v>40</v>
      </c>
      <c r="R61" s="5" t="s">
        <v>41</v>
      </c>
      <c r="S61" s="5" t="s">
        <v>42</v>
      </c>
      <c r="T61" s="5" t="s">
        <v>43</v>
      </c>
      <c r="U61" s="5" t="s">
        <v>44</v>
      </c>
      <c r="V61" s="6" t="s">
        <v>45</v>
      </c>
      <c r="W61" s="2"/>
      <c r="X61" s="38" t="s">
        <v>0</v>
      </c>
      <c r="Y61" s="38" t="s">
        <v>130</v>
      </c>
      <c r="Z61" s="38" t="s">
        <v>131</v>
      </c>
      <c r="AA61" s="38" t="s">
        <v>132</v>
      </c>
      <c r="AB61" s="2"/>
      <c r="AC61" s="2"/>
    </row>
    <row r="62" spans="1:29" ht="34.5" x14ac:dyDescent="0.35">
      <c r="A62" s="7" t="s">
        <v>26</v>
      </c>
      <c r="B62" s="8" t="s">
        <v>21</v>
      </c>
      <c r="C62" s="9">
        <v>1</v>
      </c>
      <c r="D62" s="10" t="s">
        <v>245</v>
      </c>
      <c r="E62" s="10" t="s">
        <v>246</v>
      </c>
      <c r="F62" s="11">
        <v>9.7752493174844232E-2</v>
      </c>
      <c r="G62" s="10" t="s">
        <v>205</v>
      </c>
      <c r="H62" s="10" t="s">
        <v>164</v>
      </c>
      <c r="I62" s="10" t="s">
        <v>247</v>
      </c>
      <c r="J62" s="11">
        <v>7.8806895104668512E-2</v>
      </c>
      <c r="K62" s="10" t="s">
        <v>248</v>
      </c>
      <c r="L62" s="10" t="s">
        <v>224</v>
      </c>
      <c r="M62" s="10" t="s">
        <v>249</v>
      </c>
      <c r="N62" s="10" t="s">
        <v>250</v>
      </c>
      <c r="O62" s="10" t="s">
        <v>233</v>
      </c>
      <c r="P62" s="10" t="s">
        <v>251</v>
      </c>
      <c r="Q62" s="10" t="s">
        <v>202</v>
      </c>
      <c r="R62" s="10" t="s">
        <v>155</v>
      </c>
      <c r="S62" s="10" t="s">
        <v>219</v>
      </c>
      <c r="T62" s="10" t="s">
        <v>252</v>
      </c>
      <c r="U62" s="10" t="s">
        <v>344</v>
      </c>
      <c r="V62" s="12" t="s">
        <v>284</v>
      </c>
      <c r="W62" s="2"/>
      <c r="X62" s="37" t="str" cm="1">
        <f t="array" ref="X62">INDEX(A:A, (ROW()*3)-124)</f>
        <v>P1</v>
      </c>
      <c r="Y62" s="37" t="str" cm="1">
        <f t="array" ref="Y62">INDEX(V:V, (ROW()*3)-124)</f>
        <v>0,495**</v>
      </c>
      <c r="Z62" s="39" cm="1">
        <f t="array" ref="Z62">INDEX(V:V, (ROW()*3)-123)</f>
        <v>1.0011144397499226E-14</v>
      </c>
      <c r="AA62" s="37" t="str">
        <f t="shared" ref="AA62:AA80" si="1">IF(Z62&lt;0.05,"Valid","Tidak Valid")</f>
        <v>Valid</v>
      </c>
      <c r="AB62" s="2"/>
      <c r="AC62" s="2"/>
    </row>
    <row r="63" spans="1:29" ht="23" x14ac:dyDescent="0.35">
      <c r="A63" s="13"/>
      <c r="B63" s="14" t="s">
        <v>22</v>
      </c>
      <c r="C63" s="15"/>
      <c r="D63" s="16">
        <v>1.300655073128525E-7</v>
      </c>
      <c r="E63" s="16">
        <v>2.5196220140105011E-6</v>
      </c>
      <c r="F63" s="16">
        <v>0.1522132781857985</v>
      </c>
      <c r="G63" s="16">
        <v>3.3970738472490305E-4</v>
      </c>
      <c r="H63" s="16">
        <v>7.2109046605612041E-9</v>
      </c>
      <c r="I63" s="16">
        <v>1.6540250935091531E-2</v>
      </c>
      <c r="J63" s="16">
        <v>0.24878969440946755</v>
      </c>
      <c r="K63" s="16">
        <v>1.3493692589906088E-47</v>
      </c>
      <c r="L63" s="16">
        <v>8.5303132682588587E-7</v>
      </c>
      <c r="M63" s="16">
        <v>1.6094445880789475E-6</v>
      </c>
      <c r="N63" s="16">
        <v>1.7710652440383222E-5</v>
      </c>
      <c r="O63" s="16">
        <v>1.1944923070035165E-3</v>
      </c>
      <c r="P63" s="16">
        <v>1.1148422752950155E-14</v>
      </c>
      <c r="Q63" s="16">
        <v>7.7946995596883107E-7</v>
      </c>
      <c r="R63" s="16">
        <v>3.7160253032623648E-3</v>
      </c>
      <c r="S63" s="16">
        <v>1.0754884448274841E-5</v>
      </c>
      <c r="T63" s="16">
        <v>1.0272493837911215E-6</v>
      </c>
      <c r="U63" s="16">
        <v>8.7764909660998491E-3</v>
      </c>
      <c r="V63" s="17">
        <v>1.0011144397499226E-14</v>
      </c>
      <c r="W63" s="2"/>
      <c r="X63" s="37" t="str" cm="1">
        <f t="array" ref="X63">INDEX(A:A, (ROW()*3)-124)</f>
        <v>P2</v>
      </c>
      <c r="Y63" s="37" t="str" cm="1">
        <f t="array" ref="Y63">INDEX(V:V, (ROW()*3)-124)</f>
        <v>0,640**</v>
      </c>
      <c r="Z63" s="39" cm="1">
        <f t="array" ref="Z63">INDEX(V:V, (ROW()*3)-123)</f>
        <v>2.5641558119804221E-26</v>
      </c>
      <c r="AA63" s="37" t="str">
        <f t="shared" si="1"/>
        <v>Valid</v>
      </c>
      <c r="AB63" s="2"/>
      <c r="AC63" s="2"/>
    </row>
    <row r="64" spans="1:29" x14ac:dyDescent="0.35">
      <c r="A64" s="18"/>
      <c r="B64" s="19" t="s">
        <v>23</v>
      </c>
      <c r="C64" s="20">
        <v>216</v>
      </c>
      <c r="D64" s="21">
        <v>216</v>
      </c>
      <c r="E64" s="21">
        <v>216</v>
      </c>
      <c r="F64" s="21">
        <v>216</v>
      </c>
      <c r="G64" s="21">
        <v>216</v>
      </c>
      <c r="H64" s="21">
        <v>216</v>
      </c>
      <c r="I64" s="21">
        <v>216</v>
      </c>
      <c r="J64" s="21">
        <v>216</v>
      </c>
      <c r="K64" s="21">
        <v>216</v>
      </c>
      <c r="L64" s="21">
        <v>216</v>
      </c>
      <c r="M64" s="21">
        <v>216</v>
      </c>
      <c r="N64" s="21">
        <v>216</v>
      </c>
      <c r="O64" s="21">
        <v>216</v>
      </c>
      <c r="P64" s="21">
        <v>216</v>
      </c>
      <c r="Q64" s="21">
        <v>216</v>
      </c>
      <c r="R64" s="21">
        <v>216</v>
      </c>
      <c r="S64" s="21">
        <v>216</v>
      </c>
      <c r="T64" s="21">
        <v>216</v>
      </c>
      <c r="U64" s="21">
        <v>216</v>
      </c>
      <c r="V64" s="22">
        <v>216</v>
      </c>
      <c r="W64" s="2"/>
      <c r="X64" s="37" t="str" cm="1">
        <f t="array" ref="X64">INDEX(A:A, (ROW()*3)-124)</f>
        <v>P3</v>
      </c>
      <c r="Y64" s="37" t="str" cm="1">
        <f t="array" ref="Y64">INDEX(V:V, (ROW()*3)-124)</f>
        <v>0,717**</v>
      </c>
      <c r="Z64" s="39" cm="1">
        <f t="array" ref="Z64">INDEX(V:V, (ROW()*3)-123)</f>
        <v>2.4140756877327726E-35</v>
      </c>
      <c r="AA64" s="37" t="str">
        <f t="shared" si="1"/>
        <v>Valid</v>
      </c>
      <c r="AB64" s="2"/>
      <c r="AC64" s="2"/>
    </row>
    <row r="65" spans="1:29" ht="34.5" x14ac:dyDescent="0.35">
      <c r="A65" s="18" t="s">
        <v>27</v>
      </c>
      <c r="B65" s="14" t="s">
        <v>21</v>
      </c>
      <c r="C65" s="23" t="s">
        <v>245</v>
      </c>
      <c r="D65" s="24">
        <v>1</v>
      </c>
      <c r="E65" s="25" t="s">
        <v>157</v>
      </c>
      <c r="F65" s="25" t="s">
        <v>239</v>
      </c>
      <c r="G65" s="25" t="s">
        <v>253</v>
      </c>
      <c r="H65" s="25" t="s">
        <v>254</v>
      </c>
      <c r="I65" s="25" t="s">
        <v>255</v>
      </c>
      <c r="J65" s="25" t="s">
        <v>137</v>
      </c>
      <c r="K65" s="25" t="s">
        <v>256</v>
      </c>
      <c r="L65" s="25" t="s">
        <v>145</v>
      </c>
      <c r="M65" s="25" t="s">
        <v>257</v>
      </c>
      <c r="N65" s="25" t="s">
        <v>160</v>
      </c>
      <c r="O65" s="25" t="s">
        <v>149</v>
      </c>
      <c r="P65" s="25" t="s">
        <v>258</v>
      </c>
      <c r="Q65" s="25" t="s">
        <v>259</v>
      </c>
      <c r="R65" s="25" t="s">
        <v>260</v>
      </c>
      <c r="S65" s="25" t="s">
        <v>204</v>
      </c>
      <c r="T65" s="25" t="s">
        <v>157</v>
      </c>
      <c r="U65" s="25" t="s">
        <v>345</v>
      </c>
      <c r="V65" s="26" t="s">
        <v>357</v>
      </c>
      <c r="W65" s="2"/>
      <c r="X65" s="37" t="str" cm="1">
        <f t="array" ref="X65">INDEX(A:A, (ROW()*3)-124)</f>
        <v>P4</v>
      </c>
      <c r="Y65" s="37" t="str" cm="1">
        <f t="array" ref="Y65">INDEX(V:V, (ROW()*3)-124)</f>
        <v>0,587**</v>
      </c>
      <c r="Z65" s="39" cm="1">
        <f t="array" ref="Z65">INDEX(V:V, (ROW()*3)-123)</f>
        <v>2.1763105004788542E-21</v>
      </c>
      <c r="AA65" s="37" t="str">
        <f t="shared" si="1"/>
        <v>Valid</v>
      </c>
      <c r="AB65" s="2"/>
      <c r="AC65" s="2"/>
    </row>
    <row r="66" spans="1:29" ht="23" x14ac:dyDescent="0.35">
      <c r="A66" s="13"/>
      <c r="B66" s="14" t="s">
        <v>22</v>
      </c>
      <c r="C66" s="27">
        <v>1.300655073128525E-7</v>
      </c>
      <c r="D66" s="28"/>
      <c r="E66" s="16">
        <v>2.8998960992631456E-10</v>
      </c>
      <c r="F66" s="16">
        <v>2.8144276032368461E-6</v>
      </c>
      <c r="G66" s="16">
        <v>1.9112500631258256E-7</v>
      </c>
      <c r="H66" s="16">
        <v>2.2742335106575809E-7</v>
      </c>
      <c r="I66" s="16">
        <v>1.071505491730002E-13</v>
      </c>
      <c r="J66" s="16">
        <v>1.3086210158217396E-6</v>
      </c>
      <c r="K66" s="16">
        <v>5.4021297629629774E-5</v>
      </c>
      <c r="L66" s="16">
        <v>3.5814246645744975E-4</v>
      </c>
      <c r="M66" s="16">
        <v>1.9421680246039928E-19</v>
      </c>
      <c r="N66" s="16">
        <v>1.9016396080669243E-4</v>
      </c>
      <c r="O66" s="16">
        <v>5.0773223795885927E-7</v>
      </c>
      <c r="P66" s="16">
        <v>1.1416118491731222E-7</v>
      </c>
      <c r="Q66" s="16">
        <v>4.1789382909952547E-9</v>
      </c>
      <c r="R66" s="16">
        <v>2.2665005860853454E-6</v>
      </c>
      <c r="S66" s="16">
        <v>4.058897242020794E-6</v>
      </c>
      <c r="T66" s="16">
        <v>2.8757670322120197E-10</v>
      </c>
      <c r="U66" s="16">
        <v>1.183889064817446E-14</v>
      </c>
      <c r="V66" s="17">
        <v>2.5641558119804221E-26</v>
      </c>
      <c r="W66" s="2"/>
      <c r="X66" s="37" t="str" cm="1">
        <f t="array" ref="X66">INDEX(A:A, (ROW()*3)-124)</f>
        <v>P5</v>
      </c>
      <c r="Y66" s="37" t="str" cm="1">
        <f t="array" ref="Y66">INDEX(V:V, (ROW()*3)-124)</f>
        <v>0,676**</v>
      </c>
      <c r="Z66" s="39" cm="1">
        <f t="array" ref="Z66">INDEX(V:V, (ROW()*3)-123)</f>
        <v>3.04810857565157E-30</v>
      </c>
      <c r="AA66" s="37" t="str">
        <f t="shared" si="1"/>
        <v>Valid</v>
      </c>
      <c r="AB66" s="2"/>
      <c r="AC66" s="2"/>
    </row>
    <row r="67" spans="1:29" x14ac:dyDescent="0.35">
      <c r="A67" s="18"/>
      <c r="B67" s="19" t="s">
        <v>23</v>
      </c>
      <c r="C67" s="20">
        <v>216</v>
      </c>
      <c r="D67" s="21">
        <v>216</v>
      </c>
      <c r="E67" s="21">
        <v>216</v>
      </c>
      <c r="F67" s="21">
        <v>216</v>
      </c>
      <c r="G67" s="21">
        <v>216</v>
      </c>
      <c r="H67" s="21">
        <v>216</v>
      </c>
      <c r="I67" s="21">
        <v>216</v>
      </c>
      <c r="J67" s="21">
        <v>216</v>
      </c>
      <c r="K67" s="21">
        <v>216</v>
      </c>
      <c r="L67" s="21">
        <v>216</v>
      </c>
      <c r="M67" s="21">
        <v>216</v>
      </c>
      <c r="N67" s="21">
        <v>216</v>
      </c>
      <c r="O67" s="21">
        <v>216</v>
      </c>
      <c r="P67" s="21">
        <v>216</v>
      </c>
      <c r="Q67" s="21">
        <v>216</v>
      </c>
      <c r="R67" s="21">
        <v>216</v>
      </c>
      <c r="S67" s="21">
        <v>216</v>
      </c>
      <c r="T67" s="21">
        <v>216</v>
      </c>
      <c r="U67" s="21">
        <v>216</v>
      </c>
      <c r="V67" s="22">
        <v>216</v>
      </c>
      <c r="W67" s="2"/>
      <c r="X67" s="37" t="str" cm="1">
        <f t="array" ref="X67">INDEX(A:A, (ROW()*3)-124)</f>
        <v>P6</v>
      </c>
      <c r="Y67" s="37" t="str" cm="1">
        <f t="array" ref="Y67">INDEX(V:V, (ROW()*3)-124)</f>
        <v>0,557**</v>
      </c>
      <c r="Z67" s="39" cm="1">
        <f t="array" ref="Z67">INDEX(V:V, (ROW()*3)-123)</f>
        <v>4.9079048942835872E-19</v>
      </c>
      <c r="AA67" s="37" t="str">
        <f t="shared" si="1"/>
        <v>Valid</v>
      </c>
      <c r="AB67" s="2"/>
      <c r="AC67" s="2"/>
    </row>
    <row r="68" spans="1:29" ht="34.5" x14ac:dyDescent="0.35">
      <c r="A68" s="18" t="s">
        <v>28</v>
      </c>
      <c r="B68" s="14" t="s">
        <v>21</v>
      </c>
      <c r="C68" s="23" t="s">
        <v>246</v>
      </c>
      <c r="D68" s="25" t="s">
        <v>157</v>
      </c>
      <c r="E68" s="24">
        <v>1</v>
      </c>
      <c r="F68" s="25" t="s">
        <v>261</v>
      </c>
      <c r="G68" s="25" t="s">
        <v>262</v>
      </c>
      <c r="H68" s="25" t="s">
        <v>152</v>
      </c>
      <c r="I68" s="25" t="s">
        <v>263</v>
      </c>
      <c r="J68" s="25" t="s">
        <v>264</v>
      </c>
      <c r="K68" s="25" t="s">
        <v>154</v>
      </c>
      <c r="L68" s="25" t="s">
        <v>265</v>
      </c>
      <c r="M68" s="25" t="s">
        <v>259</v>
      </c>
      <c r="N68" s="25" t="s">
        <v>266</v>
      </c>
      <c r="O68" s="25" t="s">
        <v>263</v>
      </c>
      <c r="P68" s="25" t="s">
        <v>267</v>
      </c>
      <c r="Q68" s="25" t="s">
        <v>268</v>
      </c>
      <c r="R68" s="25" t="s">
        <v>269</v>
      </c>
      <c r="S68" s="25" t="s">
        <v>270</v>
      </c>
      <c r="T68" s="25" t="s">
        <v>271</v>
      </c>
      <c r="U68" s="25" t="s">
        <v>346</v>
      </c>
      <c r="V68" s="26" t="s">
        <v>358</v>
      </c>
      <c r="W68" s="2"/>
      <c r="X68" s="37" t="str" cm="1">
        <f t="array" ref="X68">INDEX(A:A, (ROW()*3)-124)</f>
        <v>P7</v>
      </c>
      <c r="Y68" s="37" t="str" cm="1">
        <f t="array" ref="Y68">INDEX(V:V, (ROW()*3)-124)</f>
        <v>0,777**</v>
      </c>
      <c r="Z68" s="39" cm="1">
        <f t="array" ref="Z68">INDEX(V:V, (ROW()*3)-123)</f>
        <v>6.3216051799276897E-45</v>
      </c>
      <c r="AA68" s="37" t="str">
        <f t="shared" si="1"/>
        <v>Valid</v>
      </c>
      <c r="AB68" s="2"/>
      <c r="AC68" s="2"/>
    </row>
    <row r="69" spans="1:29" ht="23" x14ac:dyDescent="0.35">
      <c r="A69" s="13"/>
      <c r="B69" s="14" t="s">
        <v>22</v>
      </c>
      <c r="C69" s="27">
        <v>2.5196220140105011E-6</v>
      </c>
      <c r="D69" s="16">
        <v>2.8998960992631456E-10</v>
      </c>
      <c r="E69" s="28"/>
      <c r="F69" s="16">
        <v>1.5268918358357598E-9</v>
      </c>
      <c r="G69" s="16">
        <v>1.0042696591384228E-13</v>
      </c>
      <c r="H69" s="16">
        <v>4.8692806350091435E-5</v>
      </c>
      <c r="I69" s="16">
        <v>2.2249057915869488E-12</v>
      </c>
      <c r="J69" s="16">
        <v>2.6789991533186462E-9</v>
      </c>
      <c r="K69" s="16">
        <v>9.7055751513616221E-6</v>
      </c>
      <c r="L69" s="16">
        <v>8.4658863770557829E-14</v>
      </c>
      <c r="M69" s="16">
        <v>4.2745629440057396E-9</v>
      </c>
      <c r="N69" s="16">
        <v>5.2398711921573463E-11</v>
      </c>
      <c r="O69" s="16">
        <v>2.1360529215912465E-12</v>
      </c>
      <c r="P69" s="16">
        <v>3.0548651994730217E-22</v>
      </c>
      <c r="Q69" s="16">
        <v>3.3778058505975262E-59</v>
      </c>
      <c r="R69" s="16">
        <v>4.5849613330060036E-10</v>
      </c>
      <c r="S69" s="16">
        <v>1.4174482301624489E-5</v>
      </c>
      <c r="T69" s="16">
        <v>7.2568931085323981E-4</v>
      </c>
      <c r="U69" s="16">
        <v>4.4606425242851671E-11</v>
      </c>
      <c r="V69" s="17">
        <v>2.4140756877327726E-35</v>
      </c>
      <c r="W69" s="2"/>
      <c r="X69" s="37" t="str" cm="1">
        <f t="array" ref="X69">INDEX(A:A, (ROW()*3)-124)</f>
        <v>P8</v>
      </c>
      <c r="Y69" s="37" t="str" cm="1">
        <f t="array" ref="Y69">INDEX(V:V, (ROW()*3)-124)</f>
        <v>0,675**</v>
      </c>
      <c r="Z69" s="39" cm="1">
        <f t="array" ref="Z69">INDEX(V:V, (ROW()*3)-123)</f>
        <v>4.3238220214490794E-30</v>
      </c>
      <c r="AA69" s="37" t="str">
        <f t="shared" si="1"/>
        <v>Valid</v>
      </c>
      <c r="AB69" s="2"/>
      <c r="AC69" s="2"/>
    </row>
    <row r="70" spans="1:29" x14ac:dyDescent="0.35">
      <c r="A70" s="18"/>
      <c r="B70" s="19" t="s">
        <v>23</v>
      </c>
      <c r="C70" s="20">
        <v>216</v>
      </c>
      <c r="D70" s="21">
        <v>216</v>
      </c>
      <c r="E70" s="21">
        <v>216</v>
      </c>
      <c r="F70" s="21">
        <v>216</v>
      </c>
      <c r="G70" s="21">
        <v>216</v>
      </c>
      <c r="H70" s="21">
        <v>216</v>
      </c>
      <c r="I70" s="21">
        <v>216</v>
      </c>
      <c r="J70" s="21">
        <v>216</v>
      </c>
      <c r="K70" s="21">
        <v>216</v>
      </c>
      <c r="L70" s="21">
        <v>216</v>
      </c>
      <c r="M70" s="21">
        <v>216</v>
      </c>
      <c r="N70" s="21">
        <v>216</v>
      </c>
      <c r="O70" s="21">
        <v>216</v>
      </c>
      <c r="P70" s="21">
        <v>216</v>
      </c>
      <c r="Q70" s="21">
        <v>216</v>
      </c>
      <c r="R70" s="21">
        <v>216</v>
      </c>
      <c r="S70" s="21">
        <v>216</v>
      </c>
      <c r="T70" s="21">
        <v>216</v>
      </c>
      <c r="U70" s="21">
        <v>216</v>
      </c>
      <c r="V70" s="22">
        <v>216</v>
      </c>
      <c r="W70" s="2"/>
      <c r="X70" s="37" t="str" cm="1">
        <f t="array" ref="X70">INDEX(A:A, (ROW()*3)-124)</f>
        <v>P9</v>
      </c>
      <c r="Y70" s="37" t="str" cm="1">
        <f t="array" ref="Y70">INDEX(V:V, (ROW()*3)-124)</f>
        <v>0,554**</v>
      </c>
      <c r="Z70" s="39" cm="1">
        <f t="array" ref="Z70">INDEX(V:V, (ROW()*3)-123)</f>
        <v>8.8592819372135216E-19</v>
      </c>
      <c r="AA70" s="37" t="str">
        <f t="shared" si="1"/>
        <v>Valid</v>
      </c>
      <c r="AB70" s="2"/>
      <c r="AC70" s="2"/>
    </row>
    <row r="71" spans="1:29" ht="34.5" x14ac:dyDescent="0.35">
      <c r="A71" s="18" t="s">
        <v>29</v>
      </c>
      <c r="B71" s="14" t="s">
        <v>21</v>
      </c>
      <c r="C71" s="27">
        <v>9.7752493174844232E-2</v>
      </c>
      <c r="D71" s="25" t="s">
        <v>239</v>
      </c>
      <c r="E71" s="25" t="s">
        <v>261</v>
      </c>
      <c r="F71" s="24">
        <v>1</v>
      </c>
      <c r="G71" s="25" t="s">
        <v>272</v>
      </c>
      <c r="H71" s="16">
        <v>0.12023572896209095</v>
      </c>
      <c r="I71" s="25" t="s">
        <v>273</v>
      </c>
      <c r="J71" s="25" t="s">
        <v>274</v>
      </c>
      <c r="K71" s="25" t="s">
        <v>247</v>
      </c>
      <c r="L71" s="25" t="s">
        <v>275</v>
      </c>
      <c r="M71" s="25" t="s">
        <v>276</v>
      </c>
      <c r="N71" s="25" t="s">
        <v>277</v>
      </c>
      <c r="O71" s="25" t="s">
        <v>278</v>
      </c>
      <c r="P71" s="25" t="s">
        <v>279</v>
      </c>
      <c r="Q71" s="25" t="s">
        <v>280</v>
      </c>
      <c r="R71" s="25" t="s">
        <v>281</v>
      </c>
      <c r="S71" s="25" t="s">
        <v>282</v>
      </c>
      <c r="T71" s="25" t="s">
        <v>144</v>
      </c>
      <c r="U71" s="25" t="s">
        <v>317</v>
      </c>
      <c r="V71" s="26" t="s">
        <v>359</v>
      </c>
      <c r="W71" s="2"/>
      <c r="X71" s="37" t="str" cm="1">
        <f t="array" ref="X71">INDEX(A:A, (ROW()*3)-124)</f>
        <v>P10</v>
      </c>
      <c r="Y71" s="37" t="str" cm="1">
        <f t="array" ref="Y71">INDEX(V:V, (ROW()*3)-124)</f>
        <v>0,509**</v>
      </c>
      <c r="Z71" s="39" cm="1">
        <f t="array" ref="Z71">INDEX(V:V, (ROW()*3)-123)</f>
        <v>1.2960689537110145E-15</v>
      </c>
      <c r="AA71" s="37" t="str">
        <f t="shared" si="1"/>
        <v>Valid</v>
      </c>
      <c r="AB71" s="2"/>
      <c r="AC71" s="2"/>
    </row>
    <row r="72" spans="1:29" ht="23" x14ac:dyDescent="0.35">
      <c r="A72" s="13"/>
      <c r="B72" s="14" t="s">
        <v>22</v>
      </c>
      <c r="C72" s="27">
        <v>0.1522132781857985</v>
      </c>
      <c r="D72" s="16">
        <v>2.8144276032368461E-6</v>
      </c>
      <c r="E72" s="16">
        <v>1.5268918358357598E-9</v>
      </c>
      <c r="F72" s="28"/>
      <c r="G72" s="16">
        <v>2.4415530188945389E-24</v>
      </c>
      <c r="H72" s="16">
        <v>7.7859055091321766E-2</v>
      </c>
      <c r="I72" s="16">
        <v>2.7483290055140899E-12</v>
      </c>
      <c r="J72" s="16">
        <v>2.1946132180588261E-15</v>
      </c>
      <c r="K72" s="16">
        <v>1.6180153519342509E-2</v>
      </c>
      <c r="L72" s="16">
        <v>3.5618931883741226E-2</v>
      </c>
      <c r="M72" s="16">
        <v>1.8712827873542858E-12</v>
      </c>
      <c r="N72" s="16">
        <v>1.9138929287398503E-2</v>
      </c>
      <c r="O72" s="16">
        <v>1.1534281046783854E-18</v>
      </c>
      <c r="P72" s="16">
        <v>6.5975677029837289E-3</v>
      </c>
      <c r="Q72" s="16">
        <v>4.9378933255732945E-13</v>
      </c>
      <c r="R72" s="16">
        <v>9.317628483524644E-12</v>
      </c>
      <c r="S72" s="16">
        <v>2.8016591034091738E-3</v>
      </c>
      <c r="T72" s="16">
        <v>2.3581390240667876E-4</v>
      </c>
      <c r="U72" s="16">
        <v>1.6639238264174525E-10</v>
      </c>
      <c r="V72" s="17">
        <v>2.1763105004788542E-21</v>
      </c>
      <c r="W72" s="2"/>
      <c r="X72" s="37" t="str" cm="1">
        <f t="array" ref="X72">INDEX(A:A, (ROW()*3)-124)</f>
        <v>P11</v>
      </c>
      <c r="Y72" s="37" t="str" cm="1">
        <f t="array" ref="Y72">INDEX(V:V, (ROW()*3)-124)</f>
        <v>0,709**</v>
      </c>
      <c r="Z72" s="39" cm="1">
        <f t="array" ref="Z72">INDEX(V:V, (ROW()*3)-123)</f>
        <v>3.0782775558958322E-34</v>
      </c>
      <c r="AA72" s="37" t="str">
        <f t="shared" si="1"/>
        <v>Valid</v>
      </c>
      <c r="AB72" s="2"/>
      <c r="AC72" s="2"/>
    </row>
    <row r="73" spans="1:29" x14ac:dyDescent="0.35">
      <c r="A73" s="18"/>
      <c r="B73" s="19" t="s">
        <v>23</v>
      </c>
      <c r="C73" s="20">
        <v>216</v>
      </c>
      <c r="D73" s="21">
        <v>216</v>
      </c>
      <c r="E73" s="21">
        <v>216</v>
      </c>
      <c r="F73" s="21">
        <v>216</v>
      </c>
      <c r="G73" s="21">
        <v>216</v>
      </c>
      <c r="H73" s="21">
        <v>216</v>
      </c>
      <c r="I73" s="21">
        <v>216</v>
      </c>
      <c r="J73" s="21">
        <v>216</v>
      </c>
      <c r="K73" s="21">
        <v>216</v>
      </c>
      <c r="L73" s="21">
        <v>216</v>
      </c>
      <c r="M73" s="21">
        <v>216</v>
      </c>
      <c r="N73" s="21">
        <v>216</v>
      </c>
      <c r="O73" s="21">
        <v>216</v>
      </c>
      <c r="P73" s="21">
        <v>216</v>
      </c>
      <c r="Q73" s="21">
        <v>216</v>
      </c>
      <c r="R73" s="21">
        <v>216</v>
      </c>
      <c r="S73" s="21">
        <v>216</v>
      </c>
      <c r="T73" s="21">
        <v>216</v>
      </c>
      <c r="U73" s="21">
        <v>216</v>
      </c>
      <c r="V73" s="22">
        <v>216</v>
      </c>
      <c r="W73" s="2"/>
      <c r="X73" s="37" t="str" cm="1">
        <f t="array" ref="X73">INDEX(A:A, (ROW()*3)-124)</f>
        <v>P12</v>
      </c>
      <c r="Y73" s="37" t="str" cm="1">
        <f t="array" ref="Y73">INDEX(V:V, (ROW()*3)-124)</f>
        <v>0,491**</v>
      </c>
      <c r="Z73" s="39" cm="1">
        <f t="array" ref="Z73">INDEX(V:V, (ROW()*3)-123)</f>
        <v>1.5678080839998316E-14</v>
      </c>
      <c r="AA73" s="37" t="str">
        <f t="shared" si="1"/>
        <v>Valid</v>
      </c>
      <c r="AB73" s="2"/>
      <c r="AC73" s="2"/>
    </row>
    <row r="74" spans="1:29" ht="34.5" x14ac:dyDescent="0.35">
      <c r="A74" s="18" t="s">
        <v>30</v>
      </c>
      <c r="B74" s="14" t="s">
        <v>21</v>
      </c>
      <c r="C74" s="23" t="s">
        <v>205</v>
      </c>
      <c r="D74" s="25" t="s">
        <v>253</v>
      </c>
      <c r="E74" s="25" t="s">
        <v>262</v>
      </c>
      <c r="F74" s="25" t="s">
        <v>272</v>
      </c>
      <c r="G74" s="24">
        <v>1</v>
      </c>
      <c r="H74" s="25" t="s">
        <v>283</v>
      </c>
      <c r="I74" s="25" t="s">
        <v>284</v>
      </c>
      <c r="J74" s="25" t="s">
        <v>285</v>
      </c>
      <c r="K74" s="25" t="s">
        <v>286</v>
      </c>
      <c r="L74" s="25" t="s">
        <v>182</v>
      </c>
      <c r="M74" s="25" t="s">
        <v>168</v>
      </c>
      <c r="N74" s="25" t="s">
        <v>287</v>
      </c>
      <c r="O74" s="25" t="s">
        <v>288</v>
      </c>
      <c r="P74" s="25" t="s">
        <v>225</v>
      </c>
      <c r="Q74" s="25" t="s">
        <v>289</v>
      </c>
      <c r="R74" s="25" t="s">
        <v>290</v>
      </c>
      <c r="S74" s="25" t="s">
        <v>291</v>
      </c>
      <c r="T74" s="25" t="s">
        <v>270</v>
      </c>
      <c r="U74" s="25" t="s">
        <v>347</v>
      </c>
      <c r="V74" s="26" t="s">
        <v>360</v>
      </c>
      <c r="W74" s="2"/>
      <c r="X74" s="37" t="str" cm="1">
        <f t="array" ref="X74">INDEX(A:A, (ROW()*3)-124)</f>
        <v>P13</v>
      </c>
      <c r="Y74" s="37" t="str" cm="1">
        <f t="array" ref="Y74">INDEX(V:V, (ROW()*3)-124)</f>
        <v>0,571**</v>
      </c>
      <c r="Z74" s="39" cm="1">
        <f t="array" ref="Z74">INDEX(V:V, (ROW()*3)-123)</f>
        <v>4.1249353534505767E-20</v>
      </c>
      <c r="AA74" s="37" t="str">
        <f t="shared" si="1"/>
        <v>Valid</v>
      </c>
      <c r="AB74" s="2"/>
      <c r="AC74" s="2"/>
    </row>
    <row r="75" spans="1:29" ht="23" x14ac:dyDescent="0.35">
      <c r="A75" s="13"/>
      <c r="B75" s="14" t="s">
        <v>22</v>
      </c>
      <c r="C75" s="27">
        <v>3.3970738472490305E-4</v>
      </c>
      <c r="D75" s="16">
        <v>1.9112500631258256E-7</v>
      </c>
      <c r="E75" s="16">
        <v>1.0042696591384228E-13</v>
      </c>
      <c r="F75" s="16">
        <v>2.4415530188945389E-24</v>
      </c>
      <c r="G75" s="28"/>
      <c r="H75" s="16">
        <v>2.3410136567500975E-2</v>
      </c>
      <c r="I75" s="16">
        <v>9.4355032109291099E-15</v>
      </c>
      <c r="J75" s="16">
        <v>3.038825827525517E-15</v>
      </c>
      <c r="K75" s="16">
        <v>1.2535552119007406E-6</v>
      </c>
      <c r="L75" s="16">
        <v>1.2210471440797903E-4</v>
      </c>
      <c r="M75" s="16">
        <v>1.599355340343596E-11</v>
      </c>
      <c r="N75" s="16">
        <v>6.1360367136059152E-5</v>
      </c>
      <c r="O75" s="16">
        <v>1.6724535117237211E-8</v>
      </c>
      <c r="P75" s="16">
        <v>1.4475640183437155E-8</v>
      </c>
      <c r="Q75" s="16">
        <v>8.7430402968413183E-18</v>
      </c>
      <c r="R75" s="16">
        <v>6.7349514619758605E-19</v>
      </c>
      <c r="S75" s="16">
        <v>6.0504696179024197E-6</v>
      </c>
      <c r="T75" s="16">
        <v>1.4075426806352323E-5</v>
      </c>
      <c r="U75" s="16">
        <v>1.3530210557425941E-15</v>
      </c>
      <c r="V75" s="17">
        <v>3.04810857565157E-30</v>
      </c>
      <c r="W75" s="2"/>
      <c r="X75" s="37" t="str" cm="1">
        <f t="array" ref="X75">INDEX(A:A, (ROW()*3)-124)</f>
        <v>P14</v>
      </c>
      <c r="Y75" s="37" t="str" cm="1">
        <f t="array" ref="Y75">INDEX(V:V, (ROW()*3)-124)</f>
        <v>0,635**</v>
      </c>
      <c r="Z75" s="39" cm="1">
        <f t="array" ref="Z75">INDEX(V:V, (ROW()*3)-123)</f>
        <v>8.157822710312224E-26</v>
      </c>
      <c r="AA75" s="37" t="str">
        <f t="shared" si="1"/>
        <v>Valid</v>
      </c>
      <c r="AB75" s="2"/>
      <c r="AC75" s="2"/>
    </row>
    <row r="76" spans="1:29" x14ac:dyDescent="0.35">
      <c r="A76" s="18"/>
      <c r="B76" s="19" t="s">
        <v>23</v>
      </c>
      <c r="C76" s="20">
        <v>216</v>
      </c>
      <c r="D76" s="21">
        <v>216</v>
      </c>
      <c r="E76" s="21">
        <v>216</v>
      </c>
      <c r="F76" s="21">
        <v>216</v>
      </c>
      <c r="G76" s="21">
        <v>216</v>
      </c>
      <c r="H76" s="21">
        <v>216</v>
      </c>
      <c r="I76" s="21">
        <v>216</v>
      </c>
      <c r="J76" s="21">
        <v>216</v>
      </c>
      <c r="K76" s="21">
        <v>216</v>
      </c>
      <c r="L76" s="21">
        <v>216</v>
      </c>
      <c r="M76" s="21">
        <v>216</v>
      </c>
      <c r="N76" s="21">
        <v>216</v>
      </c>
      <c r="O76" s="21">
        <v>216</v>
      </c>
      <c r="P76" s="21">
        <v>216</v>
      </c>
      <c r="Q76" s="21">
        <v>216</v>
      </c>
      <c r="R76" s="21">
        <v>216</v>
      </c>
      <c r="S76" s="21">
        <v>216</v>
      </c>
      <c r="T76" s="21">
        <v>216</v>
      </c>
      <c r="U76" s="21">
        <v>216</v>
      </c>
      <c r="V76" s="22">
        <v>216</v>
      </c>
      <c r="W76" s="2"/>
      <c r="X76" s="37" t="str" cm="1">
        <f t="array" ref="X76">INDEX(A:A, (ROW()*3)-124)</f>
        <v>P15</v>
      </c>
      <c r="Y76" s="37" t="str" cm="1">
        <f t="array" ref="Y76">INDEX(V:V, (ROW()*3)-124)</f>
        <v>0,723**</v>
      </c>
      <c r="Z76" s="39" cm="1">
        <f t="array" ref="Z76">INDEX(V:V, (ROW()*3)-123)</f>
        <v>3.2858344547646957E-36</v>
      </c>
      <c r="AA76" s="37" t="str">
        <f t="shared" si="1"/>
        <v>Valid</v>
      </c>
      <c r="AB76" s="2"/>
      <c r="AC76" s="2"/>
    </row>
    <row r="77" spans="1:29" ht="34.5" x14ac:dyDescent="0.35">
      <c r="A77" s="18" t="s">
        <v>31</v>
      </c>
      <c r="B77" s="14" t="s">
        <v>21</v>
      </c>
      <c r="C77" s="23" t="s">
        <v>164</v>
      </c>
      <c r="D77" s="25" t="s">
        <v>254</v>
      </c>
      <c r="E77" s="25" t="s">
        <v>152</v>
      </c>
      <c r="F77" s="16">
        <v>0.12023572896209095</v>
      </c>
      <c r="G77" s="25" t="s">
        <v>283</v>
      </c>
      <c r="H77" s="24">
        <v>1</v>
      </c>
      <c r="I77" s="25" t="s">
        <v>280</v>
      </c>
      <c r="J77" s="25" t="s">
        <v>292</v>
      </c>
      <c r="K77" s="25" t="s">
        <v>221</v>
      </c>
      <c r="L77" s="25" t="s">
        <v>293</v>
      </c>
      <c r="M77" s="25" t="s">
        <v>202</v>
      </c>
      <c r="N77" s="16">
        <v>6.3628085137709733E-2</v>
      </c>
      <c r="O77" s="25" t="s">
        <v>294</v>
      </c>
      <c r="P77" s="25" t="s">
        <v>295</v>
      </c>
      <c r="Q77" s="25" t="s">
        <v>287</v>
      </c>
      <c r="R77" s="25" t="s">
        <v>296</v>
      </c>
      <c r="S77" s="25" t="s">
        <v>297</v>
      </c>
      <c r="T77" s="25" t="s">
        <v>298</v>
      </c>
      <c r="U77" s="25" t="s">
        <v>276</v>
      </c>
      <c r="V77" s="26" t="s">
        <v>299</v>
      </c>
      <c r="W77" s="2"/>
      <c r="X77" s="37" t="str" cm="1">
        <f t="array" ref="X77">INDEX(A:A, (ROW()*3)-124)</f>
        <v>P16</v>
      </c>
      <c r="Y77" s="37" t="str" cm="1">
        <f t="array" ref="Y77">INDEX(V:V, (ROW()*3)-124)</f>
        <v>0,700**</v>
      </c>
      <c r="Z77" s="39" cm="1">
        <f t="array" ref="Z77">INDEX(V:V, (ROW()*3)-123)</f>
        <v>3.9833708055627186E-33</v>
      </c>
      <c r="AA77" s="37" t="str">
        <f t="shared" si="1"/>
        <v>Valid</v>
      </c>
      <c r="AB77" s="2"/>
      <c r="AC77" s="2"/>
    </row>
    <row r="78" spans="1:29" ht="23" x14ac:dyDescent="0.35">
      <c r="A78" s="13"/>
      <c r="B78" s="14" t="s">
        <v>22</v>
      </c>
      <c r="C78" s="27">
        <v>7.2109046605612041E-9</v>
      </c>
      <c r="D78" s="16">
        <v>2.2742335106575809E-7</v>
      </c>
      <c r="E78" s="16">
        <v>4.8692806350091435E-5</v>
      </c>
      <c r="F78" s="16">
        <v>7.7859055091321766E-2</v>
      </c>
      <c r="G78" s="16">
        <v>2.3410136567500975E-2</v>
      </c>
      <c r="H78" s="28"/>
      <c r="I78" s="16">
        <v>4.6261878544612357E-13</v>
      </c>
      <c r="J78" s="16">
        <v>5.0849664819448961E-3</v>
      </c>
      <c r="K78" s="16">
        <v>5.4582811462507225E-7</v>
      </c>
      <c r="L78" s="16">
        <v>1.662275368964573E-3</v>
      </c>
      <c r="M78" s="16">
        <v>7.6892665068234292E-7</v>
      </c>
      <c r="N78" s="16">
        <v>0.35203188480395453</v>
      </c>
      <c r="O78" s="16">
        <v>1.1238442624330591E-5</v>
      </c>
      <c r="P78" s="16">
        <v>7.435966183879732E-16</v>
      </c>
      <c r="Q78" s="16">
        <v>6.256364955116259E-5</v>
      </c>
      <c r="R78" s="16">
        <v>6.4004725601058323E-3</v>
      </c>
      <c r="S78" s="16">
        <v>4.9951610575272191E-32</v>
      </c>
      <c r="T78" s="16">
        <v>4.0556162429098094E-18</v>
      </c>
      <c r="U78" s="16">
        <v>2.0679049671332544E-12</v>
      </c>
      <c r="V78" s="17">
        <v>4.9079048942835872E-19</v>
      </c>
      <c r="W78" s="2"/>
      <c r="X78" s="37" t="str" cm="1">
        <f t="array" ref="X78">INDEX(A:A, (ROW()*3)-124)</f>
        <v>P17</v>
      </c>
      <c r="Y78" s="37" t="str" cm="1">
        <f t="array" ref="Y78">INDEX(V:V, (ROW()*3)-124)</f>
        <v>0,587**</v>
      </c>
      <c r="Z78" s="39" cm="1">
        <f t="array" ref="Z78">INDEX(V:V, (ROW()*3)-123)</f>
        <v>2.1101507876395909E-21</v>
      </c>
      <c r="AA78" s="37" t="str">
        <f t="shared" si="1"/>
        <v>Valid</v>
      </c>
      <c r="AB78" s="2"/>
      <c r="AC78" s="2"/>
    </row>
    <row r="79" spans="1:29" x14ac:dyDescent="0.35">
      <c r="A79" s="18"/>
      <c r="B79" s="19" t="s">
        <v>23</v>
      </c>
      <c r="C79" s="20">
        <v>216</v>
      </c>
      <c r="D79" s="21">
        <v>216</v>
      </c>
      <c r="E79" s="21">
        <v>216</v>
      </c>
      <c r="F79" s="21">
        <v>216</v>
      </c>
      <c r="G79" s="21">
        <v>216</v>
      </c>
      <c r="H79" s="21">
        <v>216</v>
      </c>
      <c r="I79" s="21">
        <v>216</v>
      </c>
      <c r="J79" s="21">
        <v>216</v>
      </c>
      <c r="K79" s="21">
        <v>216</v>
      </c>
      <c r="L79" s="21">
        <v>216</v>
      </c>
      <c r="M79" s="21">
        <v>216</v>
      </c>
      <c r="N79" s="21">
        <v>216</v>
      </c>
      <c r="O79" s="21">
        <v>216</v>
      </c>
      <c r="P79" s="21">
        <v>216</v>
      </c>
      <c r="Q79" s="21">
        <v>216</v>
      </c>
      <c r="R79" s="21">
        <v>216</v>
      </c>
      <c r="S79" s="21">
        <v>216</v>
      </c>
      <c r="T79" s="21">
        <v>216</v>
      </c>
      <c r="U79" s="21">
        <v>216</v>
      </c>
      <c r="V79" s="22">
        <v>216</v>
      </c>
      <c r="W79" s="2"/>
      <c r="X79" s="37" t="str" cm="1">
        <f t="array" ref="X79">INDEX(A:A, (ROW()*3)-124)</f>
        <v>P18</v>
      </c>
      <c r="Y79" s="37" t="str" cm="1">
        <f t="array" ref="Y79">INDEX(V:V, (ROW()*3)-124)</f>
        <v>0,609**</v>
      </c>
      <c r="Z79" s="39" cm="1">
        <f t="array" ref="Z79">INDEX(V:V, (ROW()*3)-123)</f>
        <v>2.5118559165658107E-23</v>
      </c>
      <c r="AA79" s="37" t="str">
        <f t="shared" si="1"/>
        <v>Valid</v>
      </c>
      <c r="AB79" s="2"/>
      <c r="AC79" s="2"/>
    </row>
    <row r="80" spans="1:29" ht="34.5" x14ac:dyDescent="0.35">
      <c r="A80" s="18" t="s">
        <v>32</v>
      </c>
      <c r="B80" s="14" t="s">
        <v>21</v>
      </c>
      <c r="C80" s="23" t="s">
        <v>247</v>
      </c>
      <c r="D80" s="25" t="s">
        <v>255</v>
      </c>
      <c r="E80" s="25" t="s">
        <v>263</v>
      </c>
      <c r="F80" s="25" t="s">
        <v>273</v>
      </c>
      <c r="G80" s="25" t="s">
        <v>284</v>
      </c>
      <c r="H80" s="25" t="s">
        <v>280</v>
      </c>
      <c r="I80" s="24">
        <v>1</v>
      </c>
      <c r="J80" s="25" t="s">
        <v>299</v>
      </c>
      <c r="K80" s="25" t="s">
        <v>300</v>
      </c>
      <c r="L80" s="25" t="s">
        <v>301</v>
      </c>
      <c r="M80" s="25" t="s">
        <v>302</v>
      </c>
      <c r="N80" s="25" t="s">
        <v>303</v>
      </c>
      <c r="O80" s="25" t="s">
        <v>304</v>
      </c>
      <c r="P80" s="25" t="s">
        <v>305</v>
      </c>
      <c r="Q80" s="25" t="s">
        <v>306</v>
      </c>
      <c r="R80" s="25" t="s">
        <v>251</v>
      </c>
      <c r="S80" s="25" t="s">
        <v>276</v>
      </c>
      <c r="T80" s="25" t="s">
        <v>307</v>
      </c>
      <c r="U80" s="25" t="s">
        <v>348</v>
      </c>
      <c r="V80" s="26" t="s">
        <v>361</v>
      </c>
      <c r="W80" s="2"/>
      <c r="X80" s="37" t="str" cm="1">
        <f t="array" ref="X80">INDEX(A:A, (ROW()*3)-124)</f>
        <v>P19</v>
      </c>
      <c r="Y80" s="37" t="str" cm="1">
        <f t="array" ref="Y80">INDEX(V:V, (ROW()*3)-124)</f>
        <v>0,762**</v>
      </c>
      <c r="Z80" s="39" cm="1">
        <f t="array" ref="Z80">INDEX(V:V, (ROW()*3)-123)</f>
        <v>2.4454125583352235E-42</v>
      </c>
      <c r="AA80" s="37" t="str">
        <f t="shared" si="1"/>
        <v>Valid</v>
      </c>
      <c r="AB80" s="2"/>
      <c r="AC80" s="2"/>
    </row>
    <row r="81" spans="1:29" ht="23" x14ac:dyDescent="0.35">
      <c r="A81" s="13"/>
      <c r="B81" s="14" t="s">
        <v>22</v>
      </c>
      <c r="C81" s="27">
        <v>1.6540250935091531E-2</v>
      </c>
      <c r="D81" s="16">
        <v>1.071505491730002E-13</v>
      </c>
      <c r="E81" s="16">
        <v>2.2249057915869488E-12</v>
      </c>
      <c r="F81" s="16">
        <v>2.7483290055140899E-12</v>
      </c>
      <c r="G81" s="16">
        <v>9.4355032109291099E-15</v>
      </c>
      <c r="H81" s="16">
        <v>4.6261878544612357E-13</v>
      </c>
      <c r="I81" s="28"/>
      <c r="J81" s="16">
        <v>5.2026929651747082E-19</v>
      </c>
      <c r="K81" s="16">
        <v>1.3277463917226097E-3</v>
      </c>
      <c r="L81" s="16">
        <v>3.9757574082766051E-3</v>
      </c>
      <c r="M81" s="16">
        <v>2.20131662889264E-27</v>
      </c>
      <c r="N81" s="16">
        <v>3.8151218871611425E-6</v>
      </c>
      <c r="O81" s="16">
        <v>4.0906284983548609E-9</v>
      </c>
      <c r="P81" s="16">
        <v>2.091146408626894E-5</v>
      </c>
      <c r="Q81" s="16">
        <v>1.0582721701312633E-9</v>
      </c>
      <c r="R81" s="16">
        <v>1.0418703490609824E-14</v>
      </c>
      <c r="S81" s="16">
        <v>2.080524974470918E-12</v>
      </c>
      <c r="T81" s="16">
        <v>1.6266048657441858E-26</v>
      </c>
      <c r="U81" s="16">
        <v>7.7435604362520237E-102</v>
      </c>
      <c r="V81" s="17">
        <v>6.3216051799276897E-45</v>
      </c>
      <c r="W81" s="2"/>
      <c r="X81" s="2"/>
      <c r="Y81" s="2"/>
      <c r="Z81" s="2"/>
      <c r="AA81" s="2"/>
      <c r="AB81" s="2"/>
      <c r="AC81" s="2"/>
    </row>
    <row r="82" spans="1:29" x14ac:dyDescent="0.35">
      <c r="A82" s="18"/>
      <c r="B82" s="19" t="s">
        <v>23</v>
      </c>
      <c r="C82" s="20">
        <v>216</v>
      </c>
      <c r="D82" s="21">
        <v>216</v>
      </c>
      <c r="E82" s="21">
        <v>216</v>
      </c>
      <c r="F82" s="21">
        <v>216</v>
      </c>
      <c r="G82" s="21">
        <v>216</v>
      </c>
      <c r="H82" s="21">
        <v>216</v>
      </c>
      <c r="I82" s="21">
        <v>216</v>
      </c>
      <c r="J82" s="21">
        <v>216</v>
      </c>
      <c r="K82" s="21">
        <v>216</v>
      </c>
      <c r="L82" s="21">
        <v>216</v>
      </c>
      <c r="M82" s="21">
        <v>216</v>
      </c>
      <c r="N82" s="21">
        <v>216</v>
      </c>
      <c r="O82" s="21">
        <v>216</v>
      </c>
      <c r="P82" s="21">
        <v>216</v>
      </c>
      <c r="Q82" s="21">
        <v>216</v>
      </c>
      <c r="R82" s="21">
        <v>216</v>
      </c>
      <c r="S82" s="21">
        <v>216</v>
      </c>
      <c r="T82" s="21">
        <v>216</v>
      </c>
      <c r="U82" s="21">
        <v>216</v>
      </c>
      <c r="V82" s="22">
        <v>216</v>
      </c>
      <c r="W82" s="2"/>
      <c r="X82" s="2"/>
      <c r="Y82" s="2"/>
      <c r="Z82" s="2"/>
      <c r="AA82" s="2"/>
      <c r="AB82" s="2"/>
      <c r="AC82" s="2"/>
    </row>
    <row r="83" spans="1:29" ht="34.5" x14ac:dyDescent="0.35">
      <c r="A83" s="18" t="s">
        <v>33</v>
      </c>
      <c r="B83" s="14" t="s">
        <v>21</v>
      </c>
      <c r="C83" s="27">
        <v>7.8806895104668512E-2</v>
      </c>
      <c r="D83" s="25" t="s">
        <v>137</v>
      </c>
      <c r="E83" s="25" t="s">
        <v>264</v>
      </c>
      <c r="F83" s="25" t="s">
        <v>274</v>
      </c>
      <c r="G83" s="25" t="s">
        <v>285</v>
      </c>
      <c r="H83" s="25" t="s">
        <v>292</v>
      </c>
      <c r="I83" s="25" t="s">
        <v>299</v>
      </c>
      <c r="J83" s="24">
        <v>1</v>
      </c>
      <c r="K83" s="25" t="s">
        <v>256</v>
      </c>
      <c r="L83" s="25" t="s">
        <v>308</v>
      </c>
      <c r="M83" s="25" t="s">
        <v>309</v>
      </c>
      <c r="N83" s="25" t="s">
        <v>310</v>
      </c>
      <c r="O83" s="25" t="s">
        <v>311</v>
      </c>
      <c r="P83" s="25" t="s">
        <v>312</v>
      </c>
      <c r="Q83" s="25" t="s">
        <v>313</v>
      </c>
      <c r="R83" s="25" t="s">
        <v>314</v>
      </c>
      <c r="S83" s="25" t="s">
        <v>315</v>
      </c>
      <c r="T83" s="25" t="s">
        <v>312</v>
      </c>
      <c r="U83" s="25" t="s">
        <v>349</v>
      </c>
      <c r="V83" s="26" t="s">
        <v>362</v>
      </c>
      <c r="W83" s="2"/>
      <c r="X83" s="2"/>
      <c r="Y83" s="2"/>
      <c r="Z83" s="2"/>
      <c r="AA83" s="2"/>
      <c r="AB83" s="2"/>
      <c r="AC83" s="2"/>
    </row>
    <row r="84" spans="1:29" ht="23" x14ac:dyDescent="0.35">
      <c r="A84" s="13"/>
      <c r="B84" s="14" t="s">
        <v>22</v>
      </c>
      <c r="C84" s="27">
        <v>0.24878969440946755</v>
      </c>
      <c r="D84" s="16">
        <v>1.3086210158217396E-6</v>
      </c>
      <c r="E84" s="16">
        <v>2.6789991533186462E-9</v>
      </c>
      <c r="F84" s="16">
        <v>2.1946132180588261E-15</v>
      </c>
      <c r="G84" s="16">
        <v>3.038825827525517E-15</v>
      </c>
      <c r="H84" s="16">
        <v>5.0849664819448961E-3</v>
      </c>
      <c r="I84" s="16">
        <v>5.2026929651747082E-19</v>
      </c>
      <c r="J84" s="28"/>
      <c r="K84" s="16">
        <v>5.3733097993609072E-5</v>
      </c>
      <c r="L84" s="16">
        <v>3.0848257819750485E-4</v>
      </c>
      <c r="M84" s="16">
        <v>5.611633962117471E-13</v>
      </c>
      <c r="N84" s="16">
        <v>1.4933881206474417E-8</v>
      </c>
      <c r="O84" s="16">
        <v>2.6780556753603105E-11</v>
      </c>
      <c r="P84" s="16">
        <v>1.1240478040646228E-4</v>
      </c>
      <c r="Q84" s="16">
        <v>5.1788463932291173E-8</v>
      </c>
      <c r="R84" s="16">
        <v>4.9476372922164907E-61</v>
      </c>
      <c r="S84" s="16">
        <v>3.6568475321165694E-8</v>
      </c>
      <c r="T84" s="16">
        <v>1.1133319657729188E-4</v>
      </c>
      <c r="U84" s="16">
        <v>1.0205950124202765E-15</v>
      </c>
      <c r="V84" s="17">
        <v>4.3238220214490794E-30</v>
      </c>
      <c r="W84" s="2"/>
      <c r="X84" s="2"/>
      <c r="Y84" s="2"/>
      <c r="Z84" s="2"/>
      <c r="AA84" s="2"/>
      <c r="AB84" s="2"/>
      <c r="AC84" s="2"/>
    </row>
    <row r="85" spans="1:29" x14ac:dyDescent="0.35">
      <c r="A85" s="18"/>
      <c r="B85" s="19" t="s">
        <v>23</v>
      </c>
      <c r="C85" s="20">
        <v>216</v>
      </c>
      <c r="D85" s="21">
        <v>216</v>
      </c>
      <c r="E85" s="21">
        <v>216</v>
      </c>
      <c r="F85" s="21">
        <v>216</v>
      </c>
      <c r="G85" s="21">
        <v>216</v>
      </c>
      <c r="H85" s="21">
        <v>216</v>
      </c>
      <c r="I85" s="21">
        <v>216</v>
      </c>
      <c r="J85" s="21">
        <v>216</v>
      </c>
      <c r="K85" s="21">
        <v>216</v>
      </c>
      <c r="L85" s="21">
        <v>216</v>
      </c>
      <c r="M85" s="21">
        <v>216</v>
      </c>
      <c r="N85" s="21">
        <v>216</v>
      </c>
      <c r="O85" s="21">
        <v>216</v>
      </c>
      <c r="P85" s="21">
        <v>216</v>
      </c>
      <c r="Q85" s="21">
        <v>216</v>
      </c>
      <c r="R85" s="21">
        <v>216</v>
      </c>
      <c r="S85" s="21">
        <v>216</v>
      </c>
      <c r="T85" s="21">
        <v>216</v>
      </c>
      <c r="U85" s="21">
        <v>216</v>
      </c>
      <c r="V85" s="22">
        <v>216</v>
      </c>
      <c r="W85" s="2"/>
      <c r="X85" s="2"/>
      <c r="Y85" s="2"/>
      <c r="Z85" s="2"/>
      <c r="AA85" s="2"/>
      <c r="AB85" s="2"/>
      <c r="AC85" s="2"/>
    </row>
    <row r="86" spans="1:29" ht="34.5" x14ac:dyDescent="0.35">
      <c r="A86" s="18" t="s">
        <v>34</v>
      </c>
      <c r="B86" s="14" t="s">
        <v>21</v>
      </c>
      <c r="C86" s="23" t="s">
        <v>248</v>
      </c>
      <c r="D86" s="25" t="s">
        <v>256</v>
      </c>
      <c r="E86" s="25" t="s">
        <v>154</v>
      </c>
      <c r="F86" s="25" t="s">
        <v>247</v>
      </c>
      <c r="G86" s="25" t="s">
        <v>286</v>
      </c>
      <c r="H86" s="25" t="s">
        <v>221</v>
      </c>
      <c r="I86" s="25" t="s">
        <v>300</v>
      </c>
      <c r="J86" s="25" t="s">
        <v>256</v>
      </c>
      <c r="K86" s="24">
        <v>1</v>
      </c>
      <c r="L86" s="25" t="s">
        <v>264</v>
      </c>
      <c r="M86" s="25" t="s">
        <v>202</v>
      </c>
      <c r="N86" s="25" t="s">
        <v>294</v>
      </c>
      <c r="O86" s="25" t="s">
        <v>316</v>
      </c>
      <c r="P86" s="25" t="s">
        <v>317</v>
      </c>
      <c r="Q86" s="25" t="s">
        <v>253</v>
      </c>
      <c r="R86" s="25" t="s">
        <v>318</v>
      </c>
      <c r="S86" s="25" t="s">
        <v>319</v>
      </c>
      <c r="T86" s="25" t="s">
        <v>241</v>
      </c>
      <c r="U86" s="25" t="s">
        <v>350</v>
      </c>
      <c r="V86" s="26" t="s">
        <v>363</v>
      </c>
      <c r="W86" s="2"/>
      <c r="X86" s="2"/>
      <c r="Y86" s="2"/>
      <c r="Z86" s="2"/>
      <c r="AA86" s="2"/>
      <c r="AB86" s="2"/>
      <c r="AC86" s="2"/>
    </row>
    <row r="87" spans="1:29" ht="23" x14ac:dyDescent="0.35">
      <c r="A87" s="13"/>
      <c r="B87" s="14" t="s">
        <v>22</v>
      </c>
      <c r="C87" s="27">
        <v>1.3493692589906088E-47</v>
      </c>
      <c r="D87" s="16">
        <v>5.4021297629629774E-5</v>
      </c>
      <c r="E87" s="16">
        <v>9.7055751513616221E-6</v>
      </c>
      <c r="F87" s="16">
        <v>1.6180153519342509E-2</v>
      </c>
      <c r="G87" s="16">
        <v>1.2535552119007406E-6</v>
      </c>
      <c r="H87" s="16">
        <v>5.4582811462507225E-7</v>
      </c>
      <c r="I87" s="16">
        <v>1.3277463917226097E-3</v>
      </c>
      <c r="J87" s="16">
        <v>5.3733097993609072E-5</v>
      </c>
      <c r="K87" s="28"/>
      <c r="L87" s="16">
        <v>2.7627110959867842E-9</v>
      </c>
      <c r="M87" s="16">
        <v>7.7867747589542371E-7</v>
      </c>
      <c r="N87" s="16">
        <v>1.1481015608694341E-5</v>
      </c>
      <c r="O87" s="16">
        <v>1.4918702765156541E-5</v>
      </c>
      <c r="P87" s="16">
        <v>1.7709980689833623E-10</v>
      </c>
      <c r="Q87" s="16">
        <v>1.9623812373843161E-7</v>
      </c>
      <c r="R87" s="16">
        <v>2.1115645078777082E-9</v>
      </c>
      <c r="S87" s="16">
        <v>3.7275096007880388E-13</v>
      </c>
      <c r="T87" s="16">
        <v>3.191254126952531E-5</v>
      </c>
      <c r="U87" s="16">
        <v>1.1649261916493599E-3</v>
      </c>
      <c r="V87" s="17">
        <v>8.8592819372135216E-19</v>
      </c>
      <c r="W87" s="2"/>
      <c r="X87" s="2"/>
      <c r="Y87" s="2"/>
      <c r="Z87" s="2"/>
      <c r="AA87" s="2"/>
      <c r="AB87" s="2"/>
      <c r="AC87" s="2"/>
    </row>
    <row r="88" spans="1:29" x14ac:dyDescent="0.35">
      <c r="A88" s="18"/>
      <c r="B88" s="19" t="s">
        <v>23</v>
      </c>
      <c r="C88" s="20">
        <v>216</v>
      </c>
      <c r="D88" s="21">
        <v>216</v>
      </c>
      <c r="E88" s="21">
        <v>216</v>
      </c>
      <c r="F88" s="21">
        <v>216</v>
      </c>
      <c r="G88" s="21">
        <v>216</v>
      </c>
      <c r="H88" s="21">
        <v>216</v>
      </c>
      <c r="I88" s="21">
        <v>216</v>
      </c>
      <c r="J88" s="21">
        <v>216</v>
      </c>
      <c r="K88" s="21">
        <v>216</v>
      </c>
      <c r="L88" s="21">
        <v>216</v>
      </c>
      <c r="M88" s="21">
        <v>216</v>
      </c>
      <c r="N88" s="21">
        <v>216</v>
      </c>
      <c r="O88" s="21">
        <v>216</v>
      </c>
      <c r="P88" s="21">
        <v>216</v>
      </c>
      <c r="Q88" s="21">
        <v>216</v>
      </c>
      <c r="R88" s="21">
        <v>216</v>
      </c>
      <c r="S88" s="21">
        <v>216</v>
      </c>
      <c r="T88" s="21">
        <v>216</v>
      </c>
      <c r="U88" s="21">
        <v>216</v>
      </c>
      <c r="V88" s="22">
        <v>216</v>
      </c>
      <c r="W88" s="2"/>
      <c r="X88" s="2"/>
      <c r="Y88" s="2"/>
      <c r="Z88" s="2"/>
      <c r="AA88" s="2"/>
      <c r="AB88" s="2"/>
      <c r="AC88" s="2"/>
    </row>
    <row r="89" spans="1:29" ht="34.5" x14ac:dyDescent="0.35">
      <c r="A89" s="18" t="s">
        <v>35</v>
      </c>
      <c r="B89" s="14" t="s">
        <v>21</v>
      </c>
      <c r="C89" s="23" t="s">
        <v>224</v>
      </c>
      <c r="D89" s="25" t="s">
        <v>145</v>
      </c>
      <c r="E89" s="25" t="s">
        <v>265</v>
      </c>
      <c r="F89" s="25" t="s">
        <v>275</v>
      </c>
      <c r="G89" s="25" t="s">
        <v>182</v>
      </c>
      <c r="H89" s="25" t="s">
        <v>293</v>
      </c>
      <c r="I89" s="25" t="s">
        <v>301</v>
      </c>
      <c r="J89" s="25" t="s">
        <v>308</v>
      </c>
      <c r="K89" s="25" t="s">
        <v>264</v>
      </c>
      <c r="L89" s="24">
        <v>1</v>
      </c>
      <c r="M89" s="25" t="s">
        <v>320</v>
      </c>
      <c r="N89" s="25" t="s">
        <v>321</v>
      </c>
      <c r="O89" s="25" t="s">
        <v>178</v>
      </c>
      <c r="P89" s="25" t="s">
        <v>138</v>
      </c>
      <c r="Q89" s="25" t="s">
        <v>263</v>
      </c>
      <c r="R89" s="25" t="s">
        <v>322</v>
      </c>
      <c r="S89" s="25" t="s">
        <v>247</v>
      </c>
      <c r="T89" s="25" t="s">
        <v>162</v>
      </c>
      <c r="U89" s="25" t="s">
        <v>155</v>
      </c>
      <c r="V89" s="26" t="s">
        <v>364</v>
      </c>
      <c r="W89" s="2"/>
      <c r="X89" s="2"/>
      <c r="Y89" s="2"/>
      <c r="Z89" s="2"/>
      <c r="AA89" s="2"/>
      <c r="AB89" s="2"/>
      <c r="AC89" s="2"/>
    </row>
    <row r="90" spans="1:29" ht="23" x14ac:dyDescent="0.35">
      <c r="A90" s="13"/>
      <c r="B90" s="14" t="s">
        <v>22</v>
      </c>
      <c r="C90" s="27">
        <v>8.5303132682588587E-7</v>
      </c>
      <c r="D90" s="16">
        <v>3.5814246645744975E-4</v>
      </c>
      <c r="E90" s="16">
        <v>8.4658863770557829E-14</v>
      </c>
      <c r="F90" s="16">
        <v>3.5618931883741226E-2</v>
      </c>
      <c r="G90" s="16">
        <v>1.2210471440797903E-4</v>
      </c>
      <c r="H90" s="16">
        <v>1.662275368964573E-3</v>
      </c>
      <c r="I90" s="16">
        <v>3.9757574082766051E-3</v>
      </c>
      <c r="J90" s="16">
        <v>3.0848257819750485E-4</v>
      </c>
      <c r="K90" s="16">
        <v>2.7627110959867842E-9</v>
      </c>
      <c r="L90" s="28"/>
      <c r="M90" s="16">
        <v>3.6743775876426428E-4</v>
      </c>
      <c r="N90" s="16">
        <v>1.412798322331184E-12</v>
      </c>
      <c r="O90" s="16">
        <v>7.9035802275847377E-5</v>
      </c>
      <c r="P90" s="16">
        <v>1.8055932737047742E-10</v>
      </c>
      <c r="Q90" s="16">
        <v>2.1897090564523866E-12</v>
      </c>
      <c r="R90" s="16">
        <v>8.8930375181042117E-7</v>
      </c>
      <c r="S90" s="16">
        <v>1.6741949212884605E-2</v>
      </c>
      <c r="T90" s="16">
        <v>3.8840788647123287E-3</v>
      </c>
      <c r="U90" s="16">
        <v>3.6249577412835101E-3</v>
      </c>
      <c r="V90" s="17">
        <v>1.2960689537110145E-15</v>
      </c>
      <c r="W90" s="2"/>
      <c r="X90" s="2"/>
      <c r="Y90" s="2"/>
      <c r="Z90" s="2"/>
      <c r="AA90" s="2"/>
      <c r="AB90" s="2"/>
      <c r="AC90" s="2"/>
    </row>
    <row r="91" spans="1:29" x14ac:dyDescent="0.35">
      <c r="A91" s="18"/>
      <c r="B91" s="19" t="s">
        <v>23</v>
      </c>
      <c r="C91" s="20">
        <v>216</v>
      </c>
      <c r="D91" s="21">
        <v>216</v>
      </c>
      <c r="E91" s="21">
        <v>216</v>
      </c>
      <c r="F91" s="21">
        <v>216</v>
      </c>
      <c r="G91" s="21">
        <v>216</v>
      </c>
      <c r="H91" s="21">
        <v>216</v>
      </c>
      <c r="I91" s="21">
        <v>216</v>
      </c>
      <c r="J91" s="21">
        <v>216</v>
      </c>
      <c r="K91" s="21">
        <v>216</v>
      </c>
      <c r="L91" s="21">
        <v>216</v>
      </c>
      <c r="M91" s="21">
        <v>216</v>
      </c>
      <c r="N91" s="21">
        <v>216</v>
      </c>
      <c r="O91" s="21">
        <v>216</v>
      </c>
      <c r="P91" s="21">
        <v>216</v>
      </c>
      <c r="Q91" s="21">
        <v>216</v>
      </c>
      <c r="R91" s="21">
        <v>216</v>
      </c>
      <c r="S91" s="21">
        <v>216</v>
      </c>
      <c r="T91" s="21">
        <v>216</v>
      </c>
      <c r="U91" s="21">
        <v>216</v>
      </c>
      <c r="V91" s="22">
        <v>216</v>
      </c>
      <c r="W91" s="2"/>
      <c r="X91" s="2"/>
      <c r="Y91" s="2"/>
      <c r="Z91" s="2"/>
      <c r="AA91" s="2"/>
      <c r="AB91" s="2"/>
      <c r="AC91" s="2"/>
    </row>
    <row r="92" spans="1:29" ht="34.5" x14ac:dyDescent="0.35">
      <c r="A92" s="18" t="s">
        <v>36</v>
      </c>
      <c r="B92" s="14" t="s">
        <v>21</v>
      </c>
      <c r="C92" s="23" t="s">
        <v>249</v>
      </c>
      <c r="D92" s="25" t="s">
        <v>257</v>
      </c>
      <c r="E92" s="25" t="s">
        <v>259</v>
      </c>
      <c r="F92" s="25" t="s">
        <v>276</v>
      </c>
      <c r="G92" s="25" t="s">
        <v>168</v>
      </c>
      <c r="H92" s="25" t="s">
        <v>202</v>
      </c>
      <c r="I92" s="25" t="s">
        <v>302</v>
      </c>
      <c r="J92" s="25" t="s">
        <v>309</v>
      </c>
      <c r="K92" s="25" t="s">
        <v>202</v>
      </c>
      <c r="L92" s="25" t="s">
        <v>320</v>
      </c>
      <c r="M92" s="24">
        <v>1</v>
      </c>
      <c r="N92" s="25" t="s">
        <v>162</v>
      </c>
      <c r="O92" s="25" t="s">
        <v>323</v>
      </c>
      <c r="P92" s="25" t="s">
        <v>324</v>
      </c>
      <c r="Q92" s="25" t="s">
        <v>202</v>
      </c>
      <c r="R92" s="25" t="s">
        <v>325</v>
      </c>
      <c r="S92" s="25" t="s">
        <v>252</v>
      </c>
      <c r="T92" s="25" t="s">
        <v>326</v>
      </c>
      <c r="U92" s="25" t="s">
        <v>351</v>
      </c>
      <c r="V92" s="26" t="s">
        <v>365</v>
      </c>
      <c r="W92" s="2"/>
      <c r="X92" s="2"/>
      <c r="Y92" s="2"/>
      <c r="Z92" s="2"/>
      <c r="AA92" s="2"/>
      <c r="AB92" s="2"/>
      <c r="AC92" s="2"/>
    </row>
    <row r="93" spans="1:29" ht="23" x14ac:dyDescent="0.35">
      <c r="A93" s="13"/>
      <c r="B93" s="14" t="s">
        <v>22</v>
      </c>
      <c r="C93" s="27">
        <v>1.6094445880789475E-6</v>
      </c>
      <c r="D93" s="16">
        <v>1.9421680246039928E-19</v>
      </c>
      <c r="E93" s="16">
        <v>4.2745629440057396E-9</v>
      </c>
      <c r="F93" s="16">
        <v>1.8712827873542858E-12</v>
      </c>
      <c r="G93" s="16">
        <v>1.599355340343596E-11</v>
      </c>
      <c r="H93" s="16">
        <v>7.6892665068234292E-7</v>
      </c>
      <c r="I93" s="16">
        <v>2.20131662889264E-27</v>
      </c>
      <c r="J93" s="16">
        <v>5.611633962117471E-13</v>
      </c>
      <c r="K93" s="16">
        <v>7.7867747589542371E-7</v>
      </c>
      <c r="L93" s="16">
        <v>3.6743775876426428E-4</v>
      </c>
      <c r="M93" s="28"/>
      <c r="N93" s="16">
        <v>3.7783266251672602E-3</v>
      </c>
      <c r="O93" s="16">
        <v>3.3704089915506506E-5</v>
      </c>
      <c r="P93" s="16">
        <v>8.1885726144763861E-9</v>
      </c>
      <c r="Q93" s="16">
        <v>7.6713380715285224E-7</v>
      </c>
      <c r="R93" s="16">
        <v>2.8567047391770966E-9</v>
      </c>
      <c r="S93" s="16">
        <v>1.0311111713187079E-6</v>
      </c>
      <c r="T93" s="16">
        <v>7.3356443820916498E-22</v>
      </c>
      <c r="U93" s="16">
        <v>1.4714622415791863E-26</v>
      </c>
      <c r="V93" s="17">
        <v>3.0782775558958322E-34</v>
      </c>
      <c r="W93" s="2"/>
      <c r="X93" s="2"/>
      <c r="Y93" s="2"/>
      <c r="Z93" s="2"/>
      <c r="AA93" s="2"/>
      <c r="AB93" s="2"/>
      <c r="AC93" s="2"/>
    </row>
    <row r="94" spans="1:29" x14ac:dyDescent="0.35">
      <c r="A94" s="18"/>
      <c r="B94" s="19" t="s">
        <v>23</v>
      </c>
      <c r="C94" s="20">
        <v>216</v>
      </c>
      <c r="D94" s="21">
        <v>216</v>
      </c>
      <c r="E94" s="21">
        <v>216</v>
      </c>
      <c r="F94" s="21">
        <v>216</v>
      </c>
      <c r="G94" s="21">
        <v>216</v>
      </c>
      <c r="H94" s="21">
        <v>216</v>
      </c>
      <c r="I94" s="21">
        <v>216</v>
      </c>
      <c r="J94" s="21">
        <v>216</v>
      </c>
      <c r="K94" s="21">
        <v>216</v>
      </c>
      <c r="L94" s="21">
        <v>216</v>
      </c>
      <c r="M94" s="21">
        <v>216</v>
      </c>
      <c r="N94" s="21">
        <v>216</v>
      </c>
      <c r="O94" s="21">
        <v>216</v>
      </c>
      <c r="P94" s="21">
        <v>216</v>
      </c>
      <c r="Q94" s="21">
        <v>216</v>
      </c>
      <c r="R94" s="21">
        <v>216</v>
      </c>
      <c r="S94" s="21">
        <v>216</v>
      </c>
      <c r="T94" s="21">
        <v>216</v>
      </c>
      <c r="U94" s="21">
        <v>216</v>
      </c>
      <c r="V94" s="22">
        <v>216</v>
      </c>
      <c r="W94" s="2"/>
      <c r="X94" s="2"/>
      <c r="Y94" s="2"/>
      <c r="Z94" s="2"/>
      <c r="AA94" s="2"/>
      <c r="AB94" s="2"/>
      <c r="AC94" s="2"/>
    </row>
    <row r="95" spans="1:29" ht="34.5" x14ac:dyDescent="0.35">
      <c r="A95" s="18" t="s">
        <v>37</v>
      </c>
      <c r="B95" s="14" t="s">
        <v>21</v>
      </c>
      <c r="C95" s="23" t="s">
        <v>250</v>
      </c>
      <c r="D95" s="25" t="s">
        <v>160</v>
      </c>
      <c r="E95" s="25" t="s">
        <v>266</v>
      </c>
      <c r="F95" s="25" t="s">
        <v>277</v>
      </c>
      <c r="G95" s="25" t="s">
        <v>287</v>
      </c>
      <c r="H95" s="16">
        <v>6.3628085137709733E-2</v>
      </c>
      <c r="I95" s="25" t="s">
        <v>303</v>
      </c>
      <c r="J95" s="25" t="s">
        <v>310</v>
      </c>
      <c r="K95" s="25" t="s">
        <v>294</v>
      </c>
      <c r="L95" s="25" t="s">
        <v>321</v>
      </c>
      <c r="M95" s="25" t="s">
        <v>162</v>
      </c>
      <c r="N95" s="24">
        <v>1</v>
      </c>
      <c r="O95" s="25" t="s">
        <v>327</v>
      </c>
      <c r="P95" s="25" t="s">
        <v>328</v>
      </c>
      <c r="Q95" s="25" t="s">
        <v>329</v>
      </c>
      <c r="R95" s="25" t="s">
        <v>330</v>
      </c>
      <c r="S95" s="16">
        <v>4.3846589167514591E-2</v>
      </c>
      <c r="T95" s="25" t="s">
        <v>331</v>
      </c>
      <c r="U95" s="25" t="s">
        <v>245</v>
      </c>
      <c r="V95" s="26" t="s">
        <v>211</v>
      </c>
      <c r="W95" s="2"/>
      <c r="X95" s="2"/>
      <c r="Y95" s="2"/>
      <c r="Z95" s="2"/>
      <c r="AA95" s="2"/>
      <c r="AB95" s="2"/>
      <c r="AC95" s="2"/>
    </row>
    <row r="96" spans="1:29" ht="23" x14ac:dyDescent="0.35">
      <c r="A96" s="13"/>
      <c r="B96" s="14" t="s">
        <v>22</v>
      </c>
      <c r="C96" s="27">
        <v>1.7710652440383222E-5</v>
      </c>
      <c r="D96" s="16">
        <v>1.9016396080669243E-4</v>
      </c>
      <c r="E96" s="16">
        <v>5.2398711921573463E-11</v>
      </c>
      <c r="F96" s="16">
        <v>1.9138929287398503E-2</v>
      </c>
      <c r="G96" s="16">
        <v>6.1360367136059152E-5</v>
      </c>
      <c r="H96" s="16">
        <v>0.35203188480395453</v>
      </c>
      <c r="I96" s="16">
        <v>3.8151218871611425E-6</v>
      </c>
      <c r="J96" s="16">
        <v>1.4933881206474417E-8</v>
      </c>
      <c r="K96" s="16">
        <v>1.1481015608694341E-5</v>
      </c>
      <c r="L96" s="16">
        <v>1.412798322331184E-12</v>
      </c>
      <c r="M96" s="16">
        <v>3.7783266251672602E-3</v>
      </c>
      <c r="N96" s="28"/>
      <c r="O96" s="16">
        <v>3.4632803392159166E-3</v>
      </c>
      <c r="P96" s="16">
        <v>1.5584880873878141E-5</v>
      </c>
      <c r="Q96" s="16">
        <v>4.1021265162205692E-10</v>
      </c>
      <c r="R96" s="16">
        <v>3.1971588384680213E-12</v>
      </c>
      <c r="S96" s="16">
        <v>0.52153581544991767</v>
      </c>
      <c r="T96" s="16">
        <v>2.5939177108166025E-3</v>
      </c>
      <c r="U96" s="16">
        <v>1.3228285751638933E-7</v>
      </c>
      <c r="V96" s="17">
        <v>1.5678080839998316E-14</v>
      </c>
      <c r="W96" s="2"/>
      <c r="X96" s="2"/>
      <c r="Y96" s="2"/>
      <c r="Z96" s="2"/>
      <c r="AA96" s="2"/>
      <c r="AB96" s="2"/>
      <c r="AC96" s="2"/>
    </row>
    <row r="97" spans="1:29" x14ac:dyDescent="0.35">
      <c r="A97" s="18"/>
      <c r="B97" s="19" t="s">
        <v>23</v>
      </c>
      <c r="C97" s="20">
        <v>216</v>
      </c>
      <c r="D97" s="21">
        <v>216</v>
      </c>
      <c r="E97" s="21">
        <v>216</v>
      </c>
      <c r="F97" s="21">
        <v>216</v>
      </c>
      <c r="G97" s="21">
        <v>216</v>
      </c>
      <c r="H97" s="21">
        <v>216</v>
      </c>
      <c r="I97" s="21">
        <v>216</v>
      </c>
      <c r="J97" s="21">
        <v>216</v>
      </c>
      <c r="K97" s="21">
        <v>216</v>
      </c>
      <c r="L97" s="21">
        <v>216</v>
      </c>
      <c r="M97" s="21">
        <v>216</v>
      </c>
      <c r="N97" s="21">
        <v>216</v>
      </c>
      <c r="O97" s="21">
        <v>216</v>
      </c>
      <c r="P97" s="21">
        <v>216</v>
      </c>
      <c r="Q97" s="21">
        <v>216</v>
      </c>
      <c r="R97" s="21">
        <v>216</v>
      </c>
      <c r="S97" s="21">
        <v>216</v>
      </c>
      <c r="T97" s="21">
        <v>216</v>
      </c>
      <c r="U97" s="21">
        <v>216</v>
      </c>
      <c r="V97" s="22">
        <v>216</v>
      </c>
      <c r="W97" s="2"/>
      <c r="X97" s="2"/>
      <c r="Y97" s="2"/>
      <c r="Z97" s="2"/>
      <c r="AA97" s="2"/>
      <c r="AB97" s="2"/>
      <c r="AC97" s="2"/>
    </row>
    <row r="98" spans="1:29" ht="34.5" x14ac:dyDescent="0.35">
      <c r="A98" s="18" t="s">
        <v>38</v>
      </c>
      <c r="B98" s="14" t="s">
        <v>21</v>
      </c>
      <c r="C98" s="23" t="s">
        <v>233</v>
      </c>
      <c r="D98" s="25" t="s">
        <v>149</v>
      </c>
      <c r="E98" s="25" t="s">
        <v>263</v>
      </c>
      <c r="F98" s="25" t="s">
        <v>278</v>
      </c>
      <c r="G98" s="25" t="s">
        <v>288</v>
      </c>
      <c r="H98" s="25" t="s">
        <v>294</v>
      </c>
      <c r="I98" s="25" t="s">
        <v>304</v>
      </c>
      <c r="J98" s="25" t="s">
        <v>311</v>
      </c>
      <c r="K98" s="25" t="s">
        <v>316</v>
      </c>
      <c r="L98" s="25" t="s">
        <v>178</v>
      </c>
      <c r="M98" s="25" t="s">
        <v>323</v>
      </c>
      <c r="N98" s="25" t="s">
        <v>327</v>
      </c>
      <c r="O98" s="24">
        <v>1</v>
      </c>
      <c r="P98" s="25" t="s">
        <v>332</v>
      </c>
      <c r="Q98" s="25" t="s">
        <v>333</v>
      </c>
      <c r="R98" s="25" t="s">
        <v>334</v>
      </c>
      <c r="S98" s="25" t="s">
        <v>335</v>
      </c>
      <c r="T98" s="25" t="s">
        <v>195</v>
      </c>
      <c r="U98" s="25" t="s">
        <v>225</v>
      </c>
      <c r="V98" s="26" t="s">
        <v>186</v>
      </c>
      <c r="W98" s="2"/>
      <c r="X98" s="2"/>
      <c r="Y98" s="2"/>
      <c r="Z98" s="2"/>
      <c r="AA98" s="2"/>
      <c r="AB98" s="2"/>
      <c r="AC98" s="2"/>
    </row>
    <row r="99" spans="1:29" ht="23" x14ac:dyDescent="0.35">
      <c r="A99" s="13"/>
      <c r="B99" s="14" t="s">
        <v>22</v>
      </c>
      <c r="C99" s="27">
        <v>1.1944923070035165E-3</v>
      </c>
      <c r="D99" s="16">
        <v>5.0773223795885927E-7</v>
      </c>
      <c r="E99" s="16">
        <v>2.1360529215912465E-12</v>
      </c>
      <c r="F99" s="16">
        <v>1.1534281046783854E-18</v>
      </c>
      <c r="G99" s="16">
        <v>1.6724535117237211E-8</v>
      </c>
      <c r="H99" s="16">
        <v>1.1238442624330591E-5</v>
      </c>
      <c r="I99" s="16">
        <v>4.0906284983548609E-9</v>
      </c>
      <c r="J99" s="16">
        <v>2.6780556753603105E-11</v>
      </c>
      <c r="K99" s="16">
        <v>1.4918702765156541E-5</v>
      </c>
      <c r="L99" s="16">
        <v>7.9035802275847377E-5</v>
      </c>
      <c r="M99" s="16">
        <v>3.3704089915506506E-5</v>
      </c>
      <c r="N99" s="16">
        <v>3.4632803392159166E-3</v>
      </c>
      <c r="O99" s="28"/>
      <c r="P99" s="16">
        <v>1.5104495829220901E-2</v>
      </c>
      <c r="Q99" s="16">
        <v>3.3431762744516229E-15</v>
      </c>
      <c r="R99" s="16">
        <v>7.6661000371207597E-8</v>
      </c>
      <c r="S99" s="16">
        <v>8.4062284640818398E-5</v>
      </c>
      <c r="T99" s="16">
        <v>2.2982131423992577E-2</v>
      </c>
      <c r="U99" s="16">
        <v>1.3500205908160643E-8</v>
      </c>
      <c r="V99" s="17">
        <v>4.1249353534505767E-20</v>
      </c>
      <c r="W99" s="2"/>
      <c r="X99" s="2"/>
      <c r="Y99" s="2"/>
      <c r="Z99" s="2"/>
      <c r="AA99" s="2"/>
      <c r="AB99" s="2"/>
      <c r="AC99" s="2"/>
    </row>
    <row r="100" spans="1:29" x14ac:dyDescent="0.35">
      <c r="A100" s="18"/>
      <c r="B100" s="19" t="s">
        <v>23</v>
      </c>
      <c r="C100" s="20">
        <v>216</v>
      </c>
      <c r="D100" s="21">
        <v>216</v>
      </c>
      <c r="E100" s="21">
        <v>216</v>
      </c>
      <c r="F100" s="21">
        <v>216</v>
      </c>
      <c r="G100" s="21">
        <v>216</v>
      </c>
      <c r="H100" s="21">
        <v>216</v>
      </c>
      <c r="I100" s="21">
        <v>216</v>
      </c>
      <c r="J100" s="21">
        <v>216</v>
      </c>
      <c r="K100" s="21">
        <v>216</v>
      </c>
      <c r="L100" s="21">
        <v>216</v>
      </c>
      <c r="M100" s="21">
        <v>216</v>
      </c>
      <c r="N100" s="21">
        <v>216</v>
      </c>
      <c r="O100" s="21">
        <v>216</v>
      </c>
      <c r="P100" s="21">
        <v>216</v>
      </c>
      <c r="Q100" s="21">
        <v>216</v>
      </c>
      <c r="R100" s="21">
        <v>216</v>
      </c>
      <c r="S100" s="21">
        <v>216</v>
      </c>
      <c r="T100" s="21">
        <v>216</v>
      </c>
      <c r="U100" s="21">
        <v>216</v>
      </c>
      <c r="V100" s="22">
        <v>216</v>
      </c>
      <c r="W100" s="2"/>
      <c r="X100" s="2"/>
      <c r="Y100" s="2"/>
      <c r="Z100" s="2"/>
      <c r="AA100" s="2"/>
      <c r="AB100" s="2"/>
      <c r="AC100" s="2"/>
    </row>
    <row r="101" spans="1:29" ht="34.5" x14ac:dyDescent="0.35">
      <c r="A101" s="18" t="s">
        <v>39</v>
      </c>
      <c r="B101" s="14" t="s">
        <v>21</v>
      </c>
      <c r="C101" s="23" t="s">
        <v>251</v>
      </c>
      <c r="D101" s="25" t="s">
        <v>258</v>
      </c>
      <c r="E101" s="25" t="s">
        <v>267</v>
      </c>
      <c r="F101" s="25" t="s">
        <v>279</v>
      </c>
      <c r="G101" s="25" t="s">
        <v>225</v>
      </c>
      <c r="H101" s="25" t="s">
        <v>295</v>
      </c>
      <c r="I101" s="25" t="s">
        <v>305</v>
      </c>
      <c r="J101" s="25" t="s">
        <v>312</v>
      </c>
      <c r="K101" s="25" t="s">
        <v>317</v>
      </c>
      <c r="L101" s="25" t="s">
        <v>138</v>
      </c>
      <c r="M101" s="25" t="s">
        <v>324</v>
      </c>
      <c r="N101" s="25" t="s">
        <v>328</v>
      </c>
      <c r="O101" s="25" t="s">
        <v>332</v>
      </c>
      <c r="P101" s="24">
        <v>1</v>
      </c>
      <c r="Q101" s="25" t="s">
        <v>336</v>
      </c>
      <c r="R101" s="25" t="s">
        <v>337</v>
      </c>
      <c r="S101" s="25" t="s">
        <v>338</v>
      </c>
      <c r="T101" s="25" t="s">
        <v>339</v>
      </c>
      <c r="U101" s="25" t="s">
        <v>352</v>
      </c>
      <c r="V101" s="26" t="s">
        <v>366</v>
      </c>
      <c r="W101" s="2"/>
      <c r="X101" s="2"/>
      <c r="Y101" s="2"/>
      <c r="Z101" s="2"/>
      <c r="AA101" s="2"/>
      <c r="AB101" s="2"/>
      <c r="AC101" s="2"/>
    </row>
    <row r="102" spans="1:29" ht="23" x14ac:dyDescent="0.35">
      <c r="A102" s="13"/>
      <c r="B102" s="14" t="s">
        <v>22</v>
      </c>
      <c r="C102" s="27">
        <v>1.1148422752950155E-14</v>
      </c>
      <c r="D102" s="16">
        <v>1.1416118491731222E-7</v>
      </c>
      <c r="E102" s="16">
        <v>3.0548651994730217E-22</v>
      </c>
      <c r="F102" s="16">
        <v>6.5975677029837289E-3</v>
      </c>
      <c r="G102" s="16">
        <v>1.4475640183437155E-8</v>
      </c>
      <c r="H102" s="16">
        <v>7.435966183879732E-16</v>
      </c>
      <c r="I102" s="16">
        <v>2.091146408626894E-5</v>
      </c>
      <c r="J102" s="16">
        <v>1.1240478040646228E-4</v>
      </c>
      <c r="K102" s="16">
        <v>1.7709980689833623E-10</v>
      </c>
      <c r="L102" s="16">
        <v>1.8055932737047742E-10</v>
      </c>
      <c r="M102" s="16">
        <v>8.1885726144763861E-9</v>
      </c>
      <c r="N102" s="16">
        <v>1.5584880873878141E-5</v>
      </c>
      <c r="O102" s="16">
        <v>1.5104495829220901E-2</v>
      </c>
      <c r="P102" s="28"/>
      <c r="Q102" s="16">
        <v>1.7330837348758262E-25</v>
      </c>
      <c r="R102" s="16">
        <v>9.6087105705847024E-10</v>
      </c>
      <c r="S102" s="16">
        <v>9.2561368926795336E-9</v>
      </c>
      <c r="T102" s="16">
        <v>3.041748526705397E-8</v>
      </c>
      <c r="U102" s="16">
        <v>2.2072553024416254E-5</v>
      </c>
      <c r="V102" s="17">
        <v>8.157822710312224E-26</v>
      </c>
      <c r="W102" s="2"/>
      <c r="X102" s="2"/>
      <c r="Y102" s="2"/>
      <c r="Z102" s="2"/>
      <c r="AA102" s="2"/>
      <c r="AB102" s="2"/>
      <c r="AC102" s="2"/>
    </row>
    <row r="103" spans="1:29" x14ac:dyDescent="0.35">
      <c r="A103" s="18"/>
      <c r="B103" s="19" t="s">
        <v>23</v>
      </c>
      <c r="C103" s="20">
        <v>216</v>
      </c>
      <c r="D103" s="21">
        <v>216</v>
      </c>
      <c r="E103" s="21">
        <v>216</v>
      </c>
      <c r="F103" s="21">
        <v>216</v>
      </c>
      <c r="G103" s="21">
        <v>216</v>
      </c>
      <c r="H103" s="21">
        <v>216</v>
      </c>
      <c r="I103" s="21">
        <v>216</v>
      </c>
      <c r="J103" s="21">
        <v>216</v>
      </c>
      <c r="K103" s="21">
        <v>216</v>
      </c>
      <c r="L103" s="21">
        <v>216</v>
      </c>
      <c r="M103" s="21">
        <v>216</v>
      </c>
      <c r="N103" s="21">
        <v>216</v>
      </c>
      <c r="O103" s="21">
        <v>216</v>
      </c>
      <c r="P103" s="21">
        <v>216</v>
      </c>
      <c r="Q103" s="21">
        <v>216</v>
      </c>
      <c r="R103" s="21">
        <v>216</v>
      </c>
      <c r="S103" s="21">
        <v>216</v>
      </c>
      <c r="T103" s="21">
        <v>216</v>
      </c>
      <c r="U103" s="21">
        <v>216</v>
      </c>
      <c r="V103" s="22">
        <v>216</v>
      </c>
      <c r="W103" s="2"/>
      <c r="X103" s="2"/>
      <c r="Y103" s="2"/>
      <c r="Z103" s="2"/>
      <c r="AA103" s="2"/>
      <c r="AB103" s="2"/>
      <c r="AC103" s="2"/>
    </row>
    <row r="104" spans="1:29" ht="34.5" x14ac:dyDescent="0.35">
      <c r="A104" s="18" t="s">
        <v>40</v>
      </c>
      <c r="B104" s="14" t="s">
        <v>21</v>
      </c>
      <c r="C104" s="23" t="s">
        <v>202</v>
      </c>
      <c r="D104" s="25" t="s">
        <v>259</v>
      </c>
      <c r="E104" s="25" t="s">
        <v>268</v>
      </c>
      <c r="F104" s="25" t="s">
        <v>280</v>
      </c>
      <c r="G104" s="25" t="s">
        <v>289</v>
      </c>
      <c r="H104" s="25" t="s">
        <v>287</v>
      </c>
      <c r="I104" s="25" t="s">
        <v>306</v>
      </c>
      <c r="J104" s="25" t="s">
        <v>313</v>
      </c>
      <c r="K104" s="25" t="s">
        <v>253</v>
      </c>
      <c r="L104" s="25" t="s">
        <v>263</v>
      </c>
      <c r="M104" s="25" t="s">
        <v>202</v>
      </c>
      <c r="N104" s="25" t="s">
        <v>329</v>
      </c>
      <c r="O104" s="25" t="s">
        <v>333</v>
      </c>
      <c r="P104" s="25" t="s">
        <v>336</v>
      </c>
      <c r="Q104" s="24">
        <v>1</v>
      </c>
      <c r="R104" s="25" t="s">
        <v>340</v>
      </c>
      <c r="S104" s="25" t="s">
        <v>206</v>
      </c>
      <c r="T104" s="25" t="s">
        <v>341</v>
      </c>
      <c r="U104" s="25" t="s">
        <v>353</v>
      </c>
      <c r="V104" s="26" t="s">
        <v>367</v>
      </c>
      <c r="W104" s="2"/>
      <c r="X104" s="2"/>
      <c r="Y104" s="2"/>
      <c r="Z104" s="2"/>
      <c r="AA104" s="2"/>
      <c r="AB104" s="2"/>
      <c r="AC104" s="2"/>
    </row>
    <row r="105" spans="1:29" ht="23" x14ac:dyDescent="0.35">
      <c r="A105" s="13"/>
      <c r="B105" s="14" t="s">
        <v>22</v>
      </c>
      <c r="C105" s="27">
        <v>7.7946995596883107E-7</v>
      </c>
      <c r="D105" s="16">
        <v>4.1789382909952547E-9</v>
      </c>
      <c r="E105" s="16">
        <v>3.3778058505975262E-59</v>
      </c>
      <c r="F105" s="16">
        <v>4.9378933255732945E-13</v>
      </c>
      <c r="G105" s="16">
        <v>8.7430402968413183E-18</v>
      </c>
      <c r="H105" s="16">
        <v>6.256364955116259E-5</v>
      </c>
      <c r="I105" s="16">
        <v>1.0582721701312633E-9</v>
      </c>
      <c r="J105" s="16">
        <v>5.1788463932291173E-8</v>
      </c>
      <c r="K105" s="16">
        <v>1.9623812373843161E-7</v>
      </c>
      <c r="L105" s="16">
        <v>2.1897090564523866E-12</v>
      </c>
      <c r="M105" s="16">
        <v>7.6713380715285224E-7</v>
      </c>
      <c r="N105" s="16">
        <v>4.1021265162205692E-10</v>
      </c>
      <c r="O105" s="16">
        <v>3.3431762744516229E-15</v>
      </c>
      <c r="P105" s="16">
        <v>1.7330837348758262E-25</v>
      </c>
      <c r="Q105" s="28"/>
      <c r="R105" s="16">
        <v>1.816713928884907E-14</v>
      </c>
      <c r="S105" s="16">
        <v>5.9017492339273018E-7</v>
      </c>
      <c r="T105" s="16">
        <v>1.8059072377101357E-3</v>
      </c>
      <c r="U105" s="16">
        <v>8.6455589208460532E-10</v>
      </c>
      <c r="V105" s="17">
        <v>3.2858344547646957E-36</v>
      </c>
      <c r="W105" s="2"/>
      <c r="X105" s="2"/>
      <c r="Y105" s="2"/>
      <c r="Z105" s="2"/>
      <c r="AA105" s="2"/>
      <c r="AB105" s="2"/>
      <c r="AC105" s="2"/>
    </row>
    <row r="106" spans="1:29" x14ac:dyDescent="0.35">
      <c r="A106" s="18"/>
      <c r="B106" s="19" t="s">
        <v>23</v>
      </c>
      <c r="C106" s="20">
        <v>216</v>
      </c>
      <c r="D106" s="21">
        <v>216</v>
      </c>
      <c r="E106" s="21">
        <v>216</v>
      </c>
      <c r="F106" s="21">
        <v>216</v>
      </c>
      <c r="G106" s="21">
        <v>216</v>
      </c>
      <c r="H106" s="21">
        <v>216</v>
      </c>
      <c r="I106" s="21">
        <v>216</v>
      </c>
      <c r="J106" s="21">
        <v>216</v>
      </c>
      <c r="K106" s="21">
        <v>216</v>
      </c>
      <c r="L106" s="21">
        <v>216</v>
      </c>
      <c r="M106" s="21">
        <v>216</v>
      </c>
      <c r="N106" s="21">
        <v>216</v>
      </c>
      <c r="O106" s="21">
        <v>216</v>
      </c>
      <c r="P106" s="21">
        <v>216</v>
      </c>
      <c r="Q106" s="21">
        <v>216</v>
      </c>
      <c r="R106" s="21">
        <v>216</v>
      </c>
      <c r="S106" s="21">
        <v>216</v>
      </c>
      <c r="T106" s="21">
        <v>216</v>
      </c>
      <c r="U106" s="21">
        <v>216</v>
      </c>
      <c r="V106" s="22">
        <v>216</v>
      </c>
      <c r="W106" s="2"/>
      <c r="X106" s="2"/>
      <c r="Y106" s="2"/>
      <c r="Z106" s="2"/>
      <c r="AA106" s="2"/>
      <c r="AB106" s="2"/>
      <c r="AC106" s="2"/>
    </row>
    <row r="107" spans="1:29" ht="34.5" x14ac:dyDescent="0.35">
      <c r="A107" s="18" t="s">
        <v>41</v>
      </c>
      <c r="B107" s="14" t="s">
        <v>21</v>
      </c>
      <c r="C107" s="23" t="s">
        <v>155</v>
      </c>
      <c r="D107" s="25" t="s">
        <v>260</v>
      </c>
      <c r="E107" s="25" t="s">
        <v>269</v>
      </c>
      <c r="F107" s="25" t="s">
        <v>281</v>
      </c>
      <c r="G107" s="25" t="s">
        <v>290</v>
      </c>
      <c r="H107" s="25" t="s">
        <v>296</v>
      </c>
      <c r="I107" s="25" t="s">
        <v>251</v>
      </c>
      <c r="J107" s="25" t="s">
        <v>314</v>
      </c>
      <c r="K107" s="25" t="s">
        <v>318</v>
      </c>
      <c r="L107" s="25" t="s">
        <v>322</v>
      </c>
      <c r="M107" s="25" t="s">
        <v>325</v>
      </c>
      <c r="N107" s="25" t="s">
        <v>330</v>
      </c>
      <c r="O107" s="25" t="s">
        <v>334</v>
      </c>
      <c r="P107" s="25" t="s">
        <v>337</v>
      </c>
      <c r="Q107" s="25" t="s">
        <v>340</v>
      </c>
      <c r="R107" s="24">
        <v>1</v>
      </c>
      <c r="S107" s="25" t="s">
        <v>342</v>
      </c>
      <c r="T107" s="25" t="s">
        <v>160</v>
      </c>
      <c r="U107" s="25" t="s">
        <v>354</v>
      </c>
      <c r="V107" s="26" t="s">
        <v>368</v>
      </c>
      <c r="W107" s="2"/>
      <c r="X107" s="2"/>
      <c r="Y107" s="2"/>
      <c r="Z107" s="2"/>
      <c r="AA107" s="2"/>
      <c r="AB107" s="2"/>
      <c r="AC107" s="2"/>
    </row>
    <row r="108" spans="1:29" ht="23" x14ac:dyDescent="0.35">
      <c r="A108" s="13"/>
      <c r="B108" s="14" t="s">
        <v>22</v>
      </c>
      <c r="C108" s="27">
        <v>3.7160253032623648E-3</v>
      </c>
      <c r="D108" s="16">
        <v>2.2665005860853454E-6</v>
      </c>
      <c r="E108" s="16">
        <v>4.5849613330060036E-10</v>
      </c>
      <c r="F108" s="16">
        <v>9.317628483524644E-12</v>
      </c>
      <c r="G108" s="16">
        <v>6.7349514619758605E-19</v>
      </c>
      <c r="H108" s="16">
        <v>6.4004725601058323E-3</v>
      </c>
      <c r="I108" s="16">
        <v>1.0418703490609824E-14</v>
      </c>
      <c r="J108" s="16">
        <v>4.9476372922164907E-61</v>
      </c>
      <c r="K108" s="16">
        <v>2.1115645078777082E-9</v>
      </c>
      <c r="L108" s="16">
        <v>8.8930375181042117E-7</v>
      </c>
      <c r="M108" s="16">
        <v>2.8567047391770966E-9</v>
      </c>
      <c r="N108" s="16">
        <v>3.1971588384680213E-12</v>
      </c>
      <c r="O108" s="16">
        <v>7.6661000371207597E-8</v>
      </c>
      <c r="P108" s="16">
        <v>9.6087105705847024E-10</v>
      </c>
      <c r="Q108" s="16">
        <v>1.816713928884907E-14</v>
      </c>
      <c r="R108" s="28"/>
      <c r="S108" s="16">
        <v>1.2451948310361503E-9</v>
      </c>
      <c r="T108" s="16">
        <v>1.9558763062382949E-4</v>
      </c>
      <c r="U108" s="16">
        <v>1.7142248510620552E-12</v>
      </c>
      <c r="V108" s="17">
        <v>3.9833708055627186E-33</v>
      </c>
      <c r="W108" s="2"/>
      <c r="X108" s="2"/>
      <c r="Y108" s="2"/>
      <c r="Z108" s="2"/>
      <c r="AA108" s="2"/>
      <c r="AB108" s="2"/>
      <c r="AC108" s="2"/>
    </row>
    <row r="109" spans="1:29" x14ac:dyDescent="0.35">
      <c r="A109" s="18"/>
      <c r="B109" s="19" t="s">
        <v>23</v>
      </c>
      <c r="C109" s="20">
        <v>216</v>
      </c>
      <c r="D109" s="21">
        <v>216</v>
      </c>
      <c r="E109" s="21">
        <v>216</v>
      </c>
      <c r="F109" s="21">
        <v>216</v>
      </c>
      <c r="G109" s="21">
        <v>216</v>
      </c>
      <c r="H109" s="21">
        <v>216</v>
      </c>
      <c r="I109" s="21">
        <v>216</v>
      </c>
      <c r="J109" s="21">
        <v>216</v>
      </c>
      <c r="K109" s="21">
        <v>216</v>
      </c>
      <c r="L109" s="21">
        <v>216</v>
      </c>
      <c r="M109" s="21">
        <v>216</v>
      </c>
      <c r="N109" s="21">
        <v>216</v>
      </c>
      <c r="O109" s="21">
        <v>216</v>
      </c>
      <c r="P109" s="21">
        <v>216</v>
      </c>
      <c r="Q109" s="21">
        <v>216</v>
      </c>
      <c r="R109" s="21">
        <v>216</v>
      </c>
      <c r="S109" s="21">
        <v>216</v>
      </c>
      <c r="T109" s="21">
        <v>216</v>
      </c>
      <c r="U109" s="21">
        <v>216</v>
      </c>
      <c r="V109" s="22">
        <v>216</v>
      </c>
      <c r="W109" s="2"/>
      <c r="X109" s="2"/>
      <c r="Y109" s="2"/>
      <c r="Z109" s="2"/>
      <c r="AA109" s="2"/>
      <c r="AB109" s="2"/>
      <c r="AC109" s="2"/>
    </row>
    <row r="110" spans="1:29" ht="34.5" x14ac:dyDescent="0.35">
      <c r="A110" s="18" t="s">
        <v>42</v>
      </c>
      <c r="B110" s="14" t="s">
        <v>21</v>
      </c>
      <c r="C110" s="23" t="s">
        <v>219</v>
      </c>
      <c r="D110" s="25" t="s">
        <v>204</v>
      </c>
      <c r="E110" s="25" t="s">
        <v>270</v>
      </c>
      <c r="F110" s="25" t="s">
        <v>282</v>
      </c>
      <c r="G110" s="25" t="s">
        <v>291</v>
      </c>
      <c r="H110" s="25" t="s">
        <v>297</v>
      </c>
      <c r="I110" s="25" t="s">
        <v>276</v>
      </c>
      <c r="J110" s="25" t="s">
        <v>315</v>
      </c>
      <c r="K110" s="25" t="s">
        <v>319</v>
      </c>
      <c r="L110" s="25" t="s">
        <v>247</v>
      </c>
      <c r="M110" s="25" t="s">
        <v>252</v>
      </c>
      <c r="N110" s="16">
        <v>4.3846589167514591E-2</v>
      </c>
      <c r="O110" s="25" t="s">
        <v>335</v>
      </c>
      <c r="P110" s="25" t="s">
        <v>338</v>
      </c>
      <c r="Q110" s="25" t="s">
        <v>206</v>
      </c>
      <c r="R110" s="25" t="s">
        <v>342</v>
      </c>
      <c r="S110" s="24">
        <v>1</v>
      </c>
      <c r="T110" s="25" t="s">
        <v>343</v>
      </c>
      <c r="U110" s="25" t="s">
        <v>355</v>
      </c>
      <c r="V110" s="26" t="s">
        <v>359</v>
      </c>
      <c r="W110" s="2"/>
      <c r="X110" s="2"/>
      <c r="Y110" s="2"/>
      <c r="Z110" s="2"/>
      <c r="AA110" s="2"/>
      <c r="AB110" s="2"/>
      <c r="AC110" s="2"/>
    </row>
    <row r="111" spans="1:29" ht="23" x14ac:dyDescent="0.35">
      <c r="A111" s="13"/>
      <c r="B111" s="14" t="s">
        <v>22</v>
      </c>
      <c r="C111" s="27">
        <v>1.0754884448274841E-5</v>
      </c>
      <c r="D111" s="16">
        <v>4.058897242020794E-6</v>
      </c>
      <c r="E111" s="16">
        <v>1.4174482301624489E-5</v>
      </c>
      <c r="F111" s="16">
        <v>2.8016591034091738E-3</v>
      </c>
      <c r="G111" s="16">
        <v>6.0504696179024197E-6</v>
      </c>
      <c r="H111" s="16">
        <v>4.9951610575272191E-32</v>
      </c>
      <c r="I111" s="16">
        <v>2.080524974470918E-12</v>
      </c>
      <c r="J111" s="16">
        <v>3.6568475321165694E-8</v>
      </c>
      <c r="K111" s="16">
        <v>3.7275096007880388E-13</v>
      </c>
      <c r="L111" s="16">
        <v>1.6741949212884605E-2</v>
      </c>
      <c r="M111" s="16">
        <v>1.0311111713187079E-6</v>
      </c>
      <c r="N111" s="16">
        <v>0.52153581544991767</v>
      </c>
      <c r="O111" s="16">
        <v>8.4062284640818398E-5</v>
      </c>
      <c r="P111" s="16">
        <v>9.2561368926795336E-9</v>
      </c>
      <c r="Q111" s="16">
        <v>5.9017492339273018E-7</v>
      </c>
      <c r="R111" s="16">
        <v>1.2451948310361503E-9</v>
      </c>
      <c r="S111" s="28"/>
      <c r="T111" s="16">
        <v>8.1787218327678655E-13</v>
      </c>
      <c r="U111" s="16">
        <v>5.1523519092646493E-11</v>
      </c>
      <c r="V111" s="17">
        <v>2.1101507876395909E-21</v>
      </c>
      <c r="W111" s="2"/>
      <c r="X111" s="2"/>
      <c r="Y111" s="2"/>
      <c r="Z111" s="2"/>
      <c r="AA111" s="2"/>
      <c r="AB111" s="2"/>
      <c r="AC111" s="2"/>
    </row>
    <row r="112" spans="1:29" x14ac:dyDescent="0.35">
      <c r="A112" s="18"/>
      <c r="B112" s="19" t="s">
        <v>23</v>
      </c>
      <c r="C112" s="20">
        <v>216</v>
      </c>
      <c r="D112" s="21">
        <v>216</v>
      </c>
      <c r="E112" s="21">
        <v>216</v>
      </c>
      <c r="F112" s="21">
        <v>216</v>
      </c>
      <c r="G112" s="21">
        <v>216</v>
      </c>
      <c r="H112" s="21">
        <v>216</v>
      </c>
      <c r="I112" s="21">
        <v>216</v>
      </c>
      <c r="J112" s="21">
        <v>216</v>
      </c>
      <c r="K112" s="21">
        <v>216</v>
      </c>
      <c r="L112" s="21">
        <v>216</v>
      </c>
      <c r="M112" s="21">
        <v>216</v>
      </c>
      <c r="N112" s="21">
        <v>216</v>
      </c>
      <c r="O112" s="21">
        <v>216</v>
      </c>
      <c r="P112" s="21">
        <v>216</v>
      </c>
      <c r="Q112" s="21">
        <v>216</v>
      </c>
      <c r="R112" s="21">
        <v>216</v>
      </c>
      <c r="S112" s="21">
        <v>216</v>
      </c>
      <c r="T112" s="21">
        <v>216</v>
      </c>
      <c r="U112" s="21">
        <v>216</v>
      </c>
      <c r="V112" s="22">
        <v>216</v>
      </c>
      <c r="W112" s="2"/>
      <c r="X112" s="2"/>
      <c r="Y112" s="2"/>
      <c r="Z112" s="2"/>
      <c r="AA112" s="2"/>
      <c r="AB112" s="2"/>
      <c r="AC112" s="2"/>
    </row>
    <row r="113" spans="1:29" ht="34.5" x14ac:dyDescent="0.35">
      <c r="A113" s="18" t="s">
        <v>43</v>
      </c>
      <c r="B113" s="14" t="s">
        <v>21</v>
      </c>
      <c r="C113" s="23" t="s">
        <v>252</v>
      </c>
      <c r="D113" s="25" t="s">
        <v>157</v>
      </c>
      <c r="E113" s="25" t="s">
        <v>271</v>
      </c>
      <c r="F113" s="25" t="s">
        <v>144</v>
      </c>
      <c r="G113" s="25" t="s">
        <v>270</v>
      </c>
      <c r="H113" s="25" t="s">
        <v>298</v>
      </c>
      <c r="I113" s="25" t="s">
        <v>307</v>
      </c>
      <c r="J113" s="25" t="s">
        <v>312</v>
      </c>
      <c r="K113" s="25" t="s">
        <v>241</v>
      </c>
      <c r="L113" s="25" t="s">
        <v>162</v>
      </c>
      <c r="M113" s="25" t="s">
        <v>326</v>
      </c>
      <c r="N113" s="25" t="s">
        <v>331</v>
      </c>
      <c r="O113" s="25" t="s">
        <v>195</v>
      </c>
      <c r="P113" s="25" t="s">
        <v>339</v>
      </c>
      <c r="Q113" s="25" t="s">
        <v>341</v>
      </c>
      <c r="R113" s="25" t="s">
        <v>160</v>
      </c>
      <c r="S113" s="25" t="s">
        <v>343</v>
      </c>
      <c r="T113" s="24">
        <v>1</v>
      </c>
      <c r="U113" s="25" t="s">
        <v>356</v>
      </c>
      <c r="V113" s="26" t="s">
        <v>240</v>
      </c>
      <c r="W113" s="2"/>
      <c r="X113" s="2"/>
      <c r="Y113" s="2"/>
      <c r="Z113" s="2"/>
      <c r="AA113" s="2"/>
      <c r="AB113" s="2"/>
      <c r="AC113" s="2"/>
    </row>
    <row r="114" spans="1:29" ht="23" x14ac:dyDescent="0.35">
      <c r="A114" s="13"/>
      <c r="B114" s="14" t="s">
        <v>22</v>
      </c>
      <c r="C114" s="27">
        <v>1.0272493837911215E-6</v>
      </c>
      <c r="D114" s="16">
        <v>2.8757670322120197E-10</v>
      </c>
      <c r="E114" s="16">
        <v>7.2568931085323981E-4</v>
      </c>
      <c r="F114" s="16">
        <v>2.3581390240667876E-4</v>
      </c>
      <c r="G114" s="16">
        <v>1.4075426806352323E-5</v>
      </c>
      <c r="H114" s="16">
        <v>4.0556162429098094E-18</v>
      </c>
      <c r="I114" s="16">
        <v>1.6266048657441858E-26</v>
      </c>
      <c r="J114" s="16">
        <v>1.1133319657729188E-4</v>
      </c>
      <c r="K114" s="16">
        <v>3.191254126952531E-5</v>
      </c>
      <c r="L114" s="16">
        <v>3.8840788647123287E-3</v>
      </c>
      <c r="M114" s="16">
        <v>7.3356443820916498E-22</v>
      </c>
      <c r="N114" s="16">
        <v>2.5939177108166025E-3</v>
      </c>
      <c r="O114" s="16">
        <v>2.2982131423992577E-2</v>
      </c>
      <c r="P114" s="16">
        <v>3.041748526705397E-8</v>
      </c>
      <c r="Q114" s="16">
        <v>1.8059072377101357E-3</v>
      </c>
      <c r="R114" s="16">
        <v>1.9558763062382949E-4</v>
      </c>
      <c r="S114" s="16">
        <v>8.1787218327678655E-13</v>
      </c>
      <c r="T114" s="28"/>
      <c r="U114" s="16">
        <v>7.5885889325649979E-22</v>
      </c>
      <c r="V114" s="17">
        <v>2.5118559165658107E-23</v>
      </c>
      <c r="W114" s="2"/>
      <c r="X114" s="2"/>
      <c r="Y114" s="2"/>
      <c r="Z114" s="2"/>
      <c r="AA114" s="2"/>
      <c r="AB114" s="2"/>
      <c r="AC114" s="2"/>
    </row>
    <row r="115" spans="1:29" x14ac:dyDescent="0.35">
      <c r="A115" s="18"/>
      <c r="B115" s="19" t="s">
        <v>23</v>
      </c>
      <c r="C115" s="20">
        <v>216</v>
      </c>
      <c r="D115" s="21">
        <v>216</v>
      </c>
      <c r="E115" s="21">
        <v>216</v>
      </c>
      <c r="F115" s="21">
        <v>216</v>
      </c>
      <c r="G115" s="21">
        <v>216</v>
      </c>
      <c r="H115" s="21">
        <v>216</v>
      </c>
      <c r="I115" s="21">
        <v>216</v>
      </c>
      <c r="J115" s="21">
        <v>216</v>
      </c>
      <c r="K115" s="21">
        <v>216</v>
      </c>
      <c r="L115" s="21">
        <v>216</v>
      </c>
      <c r="M115" s="21">
        <v>216</v>
      </c>
      <c r="N115" s="21">
        <v>216</v>
      </c>
      <c r="O115" s="21">
        <v>216</v>
      </c>
      <c r="P115" s="21">
        <v>216</v>
      </c>
      <c r="Q115" s="21">
        <v>216</v>
      </c>
      <c r="R115" s="21">
        <v>216</v>
      </c>
      <c r="S115" s="21">
        <v>216</v>
      </c>
      <c r="T115" s="21">
        <v>216</v>
      </c>
      <c r="U115" s="21">
        <v>216</v>
      </c>
      <c r="V115" s="22">
        <v>216</v>
      </c>
      <c r="W115" s="2"/>
      <c r="X115" s="2"/>
      <c r="Y115" s="2"/>
      <c r="Z115" s="2"/>
      <c r="AA115" s="2"/>
      <c r="AB115" s="2"/>
      <c r="AC115" s="2"/>
    </row>
    <row r="116" spans="1:29" ht="34.5" x14ac:dyDescent="0.35">
      <c r="A116" s="18" t="s">
        <v>44</v>
      </c>
      <c r="B116" s="14" t="s">
        <v>21</v>
      </c>
      <c r="C116" s="23" t="s">
        <v>344</v>
      </c>
      <c r="D116" s="25" t="s">
        <v>345</v>
      </c>
      <c r="E116" s="25" t="s">
        <v>346</v>
      </c>
      <c r="F116" s="25" t="s">
        <v>317</v>
      </c>
      <c r="G116" s="25" t="s">
        <v>347</v>
      </c>
      <c r="H116" s="25" t="s">
        <v>276</v>
      </c>
      <c r="I116" s="25" t="s">
        <v>348</v>
      </c>
      <c r="J116" s="25" t="s">
        <v>349</v>
      </c>
      <c r="K116" s="25" t="s">
        <v>350</v>
      </c>
      <c r="L116" s="25" t="s">
        <v>155</v>
      </c>
      <c r="M116" s="25" t="s">
        <v>351</v>
      </c>
      <c r="N116" s="25" t="s">
        <v>245</v>
      </c>
      <c r="O116" s="25" t="s">
        <v>225</v>
      </c>
      <c r="P116" s="25" t="s">
        <v>352</v>
      </c>
      <c r="Q116" s="25" t="s">
        <v>353</v>
      </c>
      <c r="R116" s="25" t="s">
        <v>354</v>
      </c>
      <c r="S116" s="25" t="s">
        <v>355</v>
      </c>
      <c r="T116" s="25" t="s">
        <v>356</v>
      </c>
      <c r="U116" s="24">
        <v>1</v>
      </c>
      <c r="V116" s="26" t="s">
        <v>558</v>
      </c>
      <c r="W116" s="2"/>
      <c r="X116" s="2"/>
      <c r="Y116" s="2"/>
      <c r="Z116" s="2"/>
      <c r="AA116" s="2"/>
      <c r="AB116" s="2"/>
      <c r="AC116" s="2"/>
    </row>
    <row r="117" spans="1:29" ht="23" x14ac:dyDescent="0.35">
      <c r="A117" s="13"/>
      <c r="B117" s="14" t="s">
        <v>22</v>
      </c>
      <c r="C117" s="27">
        <v>8.7764909660998491E-3</v>
      </c>
      <c r="D117" s="16">
        <v>1.183889064817446E-14</v>
      </c>
      <c r="E117" s="16">
        <v>4.4606425242851671E-11</v>
      </c>
      <c r="F117" s="16">
        <v>1.6639238264174525E-10</v>
      </c>
      <c r="G117" s="16">
        <v>1.3530210557425941E-15</v>
      </c>
      <c r="H117" s="16">
        <v>2.0679049671332544E-12</v>
      </c>
      <c r="I117" s="16">
        <v>7.7435604362520237E-102</v>
      </c>
      <c r="J117" s="16">
        <v>1.0205950124202765E-15</v>
      </c>
      <c r="K117" s="16">
        <v>1.1649261916493599E-3</v>
      </c>
      <c r="L117" s="16">
        <v>3.6249577412835101E-3</v>
      </c>
      <c r="M117" s="16">
        <v>1.4714622415791863E-26</v>
      </c>
      <c r="N117" s="16">
        <v>1.3228285751638933E-7</v>
      </c>
      <c r="O117" s="16">
        <v>1.3500205908160643E-8</v>
      </c>
      <c r="P117" s="16">
        <v>2.2072553024416254E-5</v>
      </c>
      <c r="Q117" s="16">
        <v>8.6455589208460532E-10</v>
      </c>
      <c r="R117" s="16">
        <v>1.7142248510620552E-12</v>
      </c>
      <c r="S117" s="16">
        <v>5.1523519092646493E-11</v>
      </c>
      <c r="T117" s="16">
        <v>7.5885889325649979E-22</v>
      </c>
      <c r="U117" s="28"/>
      <c r="V117" s="17">
        <v>2.4454125583352235E-42</v>
      </c>
      <c r="W117" s="2"/>
      <c r="X117" s="2"/>
      <c r="Y117" s="2"/>
      <c r="Z117" s="2"/>
      <c r="AA117" s="2"/>
      <c r="AB117" s="2"/>
      <c r="AC117" s="2"/>
    </row>
    <row r="118" spans="1:29" x14ac:dyDescent="0.35">
      <c r="A118" s="18"/>
      <c r="B118" s="19" t="s">
        <v>23</v>
      </c>
      <c r="C118" s="20">
        <v>216</v>
      </c>
      <c r="D118" s="21">
        <v>216</v>
      </c>
      <c r="E118" s="21">
        <v>216</v>
      </c>
      <c r="F118" s="21">
        <v>216</v>
      </c>
      <c r="G118" s="21">
        <v>216</v>
      </c>
      <c r="H118" s="21">
        <v>216</v>
      </c>
      <c r="I118" s="21">
        <v>216</v>
      </c>
      <c r="J118" s="21">
        <v>216</v>
      </c>
      <c r="K118" s="21">
        <v>216</v>
      </c>
      <c r="L118" s="21">
        <v>216</v>
      </c>
      <c r="M118" s="21">
        <v>216</v>
      </c>
      <c r="N118" s="21">
        <v>216</v>
      </c>
      <c r="O118" s="21">
        <v>216</v>
      </c>
      <c r="P118" s="21">
        <v>216</v>
      </c>
      <c r="Q118" s="21">
        <v>216</v>
      </c>
      <c r="R118" s="21">
        <v>216</v>
      </c>
      <c r="S118" s="21">
        <v>216</v>
      </c>
      <c r="T118" s="21">
        <v>216</v>
      </c>
      <c r="U118" s="21">
        <v>216</v>
      </c>
      <c r="V118" s="22">
        <v>216</v>
      </c>
      <c r="W118" s="2"/>
      <c r="X118" s="2"/>
      <c r="Y118" s="2"/>
      <c r="Z118" s="2"/>
      <c r="AA118" s="2"/>
      <c r="AB118" s="2"/>
      <c r="AC118" s="2"/>
    </row>
    <row r="119" spans="1:29" ht="34.5" x14ac:dyDescent="0.35">
      <c r="A119" s="18" t="s">
        <v>45</v>
      </c>
      <c r="B119" s="14" t="s">
        <v>21</v>
      </c>
      <c r="C119" s="23" t="s">
        <v>284</v>
      </c>
      <c r="D119" s="25" t="s">
        <v>357</v>
      </c>
      <c r="E119" s="25" t="s">
        <v>358</v>
      </c>
      <c r="F119" s="25" t="s">
        <v>359</v>
      </c>
      <c r="G119" s="25" t="s">
        <v>360</v>
      </c>
      <c r="H119" s="25" t="s">
        <v>299</v>
      </c>
      <c r="I119" s="25" t="s">
        <v>361</v>
      </c>
      <c r="J119" s="25" t="s">
        <v>362</v>
      </c>
      <c r="K119" s="25" t="s">
        <v>363</v>
      </c>
      <c r="L119" s="25" t="s">
        <v>364</v>
      </c>
      <c r="M119" s="25" t="s">
        <v>365</v>
      </c>
      <c r="N119" s="25" t="s">
        <v>211</v>
      </c>
      <c r="O119" s="25" t="s">
        <v>186</v>
      </c>
      <c r="P119" s="25" t="s">
        <v>366</v>
      </c>
      <c r="Q119" s="25" t="s">
        <v>367</v>
      </c>
      <c r="R119" s="25" t="s">
        <v>368</v>
      </c>
      <c r="S119" s="25" t="s">
        <v>359</v>
      </c>
      <c r="T119" s="25" t="s">
        <v>240</v>
      </c>
      <c r="U119" s="25" t="s">
        <v>558</v>
      </c>
      <c r="V119" s="29">
        <v>1</v>
      </c>
      <c r="W119" s="2"/>
      <c r="X119" s="2"/>
      <c r="Y119" s="2"/>
      <c r="Z119" s="2"/>
      <c r="AA119" s="2"/>
      <c r="AB119" s="2"/>
      <c r="AC119" s="2"/>
    </row>
    <row r="120" spans="1:29" ht="23" x14ac:dyDescent="0.35">
      <c r="A120" s="13"/>
      <c r="B120" s="14" t="s">
        <v>22</v>
      </c>
      <c r="C120" s="27">
        <v>1.0011144397499226E-14</v>
      </c>
      <c r="D120" s="16">
        <v>2.5641558119804221E-26</v>
      </c>
      <c r="E120" s="16">
        <v>2.4140756877327726E-35</v>
      </c>
      <c r="F120" s="16">
        <v>2.1763105004788542E-21</v>
      </c>
      <c r="G120" s="16">
        <v>3.04810857565157E-30</v>
      </c>
      <c r="H120" s="16">
        <v>4.9079048942835872E-19</v>
      </c>
      <c r="I120" s="16">
        <v>6.3216051799276897E-45</v>
      </c>
      <c r="J120" s="16">
        <v>4.3238220214490794E-30</v>
      </c>
      <c r="K120" s="16">
        <v>8.8592819372135216E-19</v>
      </c>
      <c r="L120" s="16">
        <v>1.2960689537110145E-15</v>
      </c>
      <c r="M120" s="16">
        <v>3.0782775558958322E-34</v>
      </c>
      <c r="N120" s="16">
        <v>1.5678080839998316E-14</v>
      </c>
      <c r="O120" s="16">
        <v>4.1249353534505767E-20</v>
      </c>
      <c r="P120" s="16">
        <v>8.157822710312224E-26</v>
      </c>
      <c r="Q120" s="16">
        <v>3.2858344547646957E-36</v>
      </c>
      <c r="R120" s="16">
        <v>3.9833708055627186E-33</v>
      </c>
      <c r="S120" s="16">
        <v>2.1101507876395909E-21</v>
      </c>
      <c r="T120" s="16">
        <v>2.5118559165658107E-23</v>
      </c>
      <c r="U120" s="16">
        <v>2.4454125583352235E-42</v>
      </c>
      <c r="V120" s="30"/>
      <c r="W120" s="2"/>
      <c r="X120" s="2"/>
      <c r="Y120" s="2"/>
      <c r="Z120" s="2"/>
      <c r="AA120" s="2"/>
      <c r="AB120" s="2"/>
      <c r="AC120" s="2"/>
    </row>
    <row r="121" spans="1:29" x14ac:dyDescent="0.35">
      <c r="A121" s="31"/>
      <c r="B121" s="32" t="s">
        <v>23</v>
      </c>
      <c r="C121" s="33">
        <v>216</v>
      </c>
      <c r="D121" s="34">
        <v>216</v>
      </c>
      <c r="E121" s="34">
        <v>216</v>
      </c>
      <c r="F121" s="34">
        <v>216</v>
      </c>
      <c r="G121" s="34">
        <v>216</v>
      </c>
      <c r="H121" s="34">
        <v>216</v>
      </c>
      <c r="I121" s="34">
        <v>216</v>
      </c>
      <c r="J121" s="34">
        <v>216</v>
      </c>
      <c r="K121" s="34">
        <v>216</v>
      </c>
      <c r="L121" s="34">
        <v>216</v>
      </c>
      <c r="M121" s="34">
        <v>216</v>
      </c>
      <c r="N121" s="34">
        <v>216</v>
      </c>
      <c r="O121" s="34">
        <v>216</v>
      </c>
      <c r="P121" s="34">
        <v>216</v>
      </c>
      <c r="Q121" s="34">
        <v>216</v>
      </c>
      <c r="R121" s="34">
        <v>216</v>
      </c>
      <c r="S121" s="34">
        <v>216</v>
      </c>
      <c r="T121" s="34">
        <v>216</v>
      </c>
      <c r="U121" s="34">
        <v>216</v>
      </c>
      <c r="V121" s="35">
        <v>216</v>
      </c>
      <c r="W121" s="2"/>
      <c r="X121" s="2"/>
      <c r="Y121" s="2"/>
      <c r="Z121" s="2"/>
      <c r="AA121" s="2"/>
      <c r="AB121" s="2"/>
      <c r="AC121" s="2"/>
    </row>
    <row r="122" spans="1:29" x14ac:dyDescent="0.35">
      <c r="A122" s="36" t="s">
        <v>24</v>
      </c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2"/>
      <c r="X122" s="2"/>
      <c r="Y122" s="2"/>
      <c r="Z122" s="2"/>
      <c r="AA122" s="2"/>
      <c r="AB122" s="2"/>
      <c r="AC122" s="2"/>
    </row>
    <row r="123" spans="1:29" x14ac:dyDescent="0.35">
      <c r="A123" s="36" t="s">
        <v>25</v>
      </c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2"/>
      <c r="X123" s="2"/>
      <c r="Y123" s="2"/>
      <c r="Z123" s="2"/>
      <c r="AA123" s="2"/>
      <c r="AB123" s="2"/>
      <c r="AC123" s="2"/>
    </row>
    <row r="124" spans="1:29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x14ac:dyDescent="0.35">
      <c r="A125" s="1" t="s">
        <v>2</v>
      </c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2"/>
      <c r="Y125" s="2"/>
      <c r="Z125" s="2"/>
      <c r="AA125" s="2"/>
      <c r="AB125" s="2"/>
      <c r="AC125" s="2"/>
    </row>
    <row r="126" spans="1:29" ht="24" x14ac:dyDescent="0.35">
      <c r="A126" s="3" t="s">
        <v>1</v>
      </c>
      <c r="B126" s="3"/>
      <c r="C126" s="4" t="s">
        <v>46</v>
      </c>
      <c r="D126" s="5" t="s">
        <v>47</v>
      </c>
      <c r="E126" s="5" t="s">
        <v>48</v>
      </c>
      <c r="F126" s="5" t="s">
        <v>49</v>
      </c>
      <c r="G126" s="5" t="s">
        <v>50</v>
      </c>
      <c r="H126" s="5" t="s">
        <v>51</v>
      </c>
      <c r="I126" s="5" t="s">
        <v>52</v>
      </c>
      <c r="J126" s="5" t="s">
        <v>53</v>
      </c>
      <c r="K126" s="5" t="s">
        <v>54</v>
      </c>
      <c r="L126" s="5" t="s">
        <v>55</v>
      </c>
      <c r="M126" s="5" t="s">
        <v>56</v>
      </c>
      <c r="N126" s="5" t="s">
        <v>57</v>
      </c>
      <c r="O126" s="5" t="s">
        <v>58</v>
      </c>
      <c r="P126" s="5" t="s">
        <v>59</v>
      </c>
      <c r="Q126" s="5" t="s">
        <v>60</v>
      </c>
      <c r="R126" s="5" t="s">
        <v>61</v>
      </c>
      <c r="S126" s="5" t="s">
        <v>62</v>
      </c>
      <c r="T126" s="5" t="s">
        <v>63</v>
      </c>
      <c r="U126" s="5" t="s">
        <v>64</v>
      </c>
      <c r="V126" s="5" t="s">
        <v>65</v>
      </c>
      <c r="W126" s="6" t="s">
        <v>66</v>
      </c>
      <c r="X126" s="2"/>
      <c r="Y126" s="38" t="s">
        <v>0</v>
      </c>
      <c r="Z126" s="38" t="s">
        <v>130</v>
      </c>
      <c r="AA126" s="38" t="s">
        <v>131</v>
      </c>
      <c r="AB126" s="38" t="s">
        <v>132</v>
      </c>
      <c r="AC126" s="2"/>
    </row>
    <row r="127" spans="1:29" ht="34.5" x14ac:dyDescent="0.35">
      <c r="A127" s="7" t="s">
        <v>46</v>
      </c>
      <c r="B127" s="8" t="s">
        <v>21</v>
      </c>
      <c r="C127" s="9">
        <v>1</v>
      </c>
      <c r="D127" s="10" t="s">
        <v>369</v>
      </c>
      <c r="E127" s="10" t="s">
        <v>253</v>
      </c>
      <c r="F127" s="10" t="s">
        <v>265</v>
      </c>
      <c r="G127" s="10" t="s">
        <v>369</v>
      </c>
      <c r="H127" s="10" t="s">
        <v>209</v>
      </c>
      <c r="I127" s="10" t="s">
        <v>327</v>
      </c>
      <c r="J127" s="10" t="s">
        <v>261</v>
      </c>
      <c r="K127" s="10" t="s">
        <v>233</v>
      </c>
      <c r="L127" s="10" t="s">
        <v>370</v>
      </c>
      <c r="M127" s="10" t="s">
        <v>371</v>
      </c>
      <c r="N127" s="10" t="s">
        <v>205</v>
      </c>
      <c r="O127" s="10" t="s">
        <v>271</v>
      </c>
      <c r="P127" s="10" t="s">
        <v>372</v>
      </c>
      <c r="Q127" s="10" t="s">
        <v>373</v>
      </c>
      <c r="R127" s="10" t="s">
        <v>372</v>
      </c>
      <c r="S127" s="10" t="s">
        <v>250</v>
      </c>
      <c r="T127" s="10" t="s">
        <v>312</v>
      </c>
      <c r="U127" s="10" t="s">
        <v>201</v>
      </c>
      <c r="V127" s="10" t="s">
        <v>417</v>
      </c>
      <c r="W127" s="12" t="s">
        <v>434</v>
      </c>
      <c r="X127" s="2"/>
      <c r="Y127" s="37" t="str" cm="1">
        <f t="array" ref="Y127">INDEX(A:A, (ROW()*3)-(ROW($Y$127)*2))</f>
        <v>TKA1</v>
      </c>
      <c r="Z127" s="37" t="str" cm="1">
        <f t="array" ref="Z127">INDEX(W:W, (ROW()*3)-(ROW($Y$127)*2))</f>
        <v>0,594**</v>
      </c>
      <c r="AA127" s="39" cm="1">
        <f t="array" ref="AA127">INDEX(W:W, (ROW()*3)-(ROW($Y$127)*2)+1)</f>
        <v>5.6023460721742724E-22</v>
      </c>
      <c r="AB127" s="37" t="str">
        <f t="shared" ref="AB127:AB146" si="2">IF(AA127&lt;0.05,"Valid","Tidak Valid")</f>
        <v>Valid</v>
      </c>
      <c r="AC127" s="2"/>
    </row>
    <row r="128" spans="1:29" ht="23" x14ac:dyDescent="0.35">
      <c r="A128" s="13"/>
      <c r="B128" s="14" t="s">
        <v>22</v>
      </c>
      <c r="C128" s="15"/>
      <c r="D128" s="16">
        <v>3.5179093318690239E-6</v>
      </c>
      <c r="E128" s="16">
        <v>1.97430340301364E-7</v>
      </c>
      <c r="F128" s="16">
        <v>8.9349954427080624E-14</v>
      </c>
      <c r="G128" s="16">
        <v>3.4912251659131382E-6</v>
      </c>
      <c r="H128" s="16">
        <v>4.4154754078366547E-5</v>
      </c>
      <c r="I128" s="16">
        <v>3.4648537957387071E-3</v>
      </c>
      <c r="J128" s="16">
        <v>1.6761530707496218E-9</v>
      </c>
      <c r="K128" s="16">
        <v>1.2116792247608994E-3</v>
      </c>
      <c r="L128" s="16">
        <v>1.174179716549676E-5</v>
      </c>
      <c r="M128" s="16">
        <v>9.3196952051904285E-4</v>
      </c>
      <c r="N128" s="16">
        <v>3.3451933251361693E-4</v>
      </c>
      <c r="O128" s="16">
        <v>7.2043671271366323E-4</v>
      </c>
      <c r="P128" s="16">
        <v>1.2449162020121097E-8</v>
      </c>
      <c r="Q128" s="16">
        <v>1.1618456506967913E-12</v>
      </c>
      <c r="R128" s="16">
        <v>1.3153869437153095E-8</v>
      </c>
      <c r="S128" s="16">
        <v>1.6576540952472353E-5</v>
      </c>
      <c r="T128" s="16">
        <v>1.1156639884624203E-4</v>
      </c>
      <c r="U128" s="16">
        <v>4.333237762760038E-2</v>
      </c>
      <c r="V128" s="16">
        <v>7.4380052863368145E-5</v>
      </c>
      <c r="W128" s="17">
        <v>5.6023460721742724E-22</v>
      </c>
      <c r="X128" s="2"/>
      <c r="Y128" s="37" t="str" cm="1">
        <f t="array" ref="Y128">INDEX(A:A, (ROW()*3)-(ROW($Y$127)*2))</f>
        <v>TKA2</v>
      </c>
      <c r="Z128" s="37" t="str" cm="1">
        <f t="array" ref="Z128">INDEX(W:W, (ROW()*3)-(ROW($Y$127)*2))</f>
        <v>0,483**</v>
      </c>
      <c r="AA128" s="39" cm="1">
        <f t="array" ref="AA128">INDEX(W:W, (ROW()*3)-(ROW($Y$127)*2)+1)</f>
        <v>4.8880999614241892E-14</v>
      </c>
      <c r="AB128" s="37" t="str">
        <f t="shared" si="2"/>
        <v>Valid</v>
      </c>
      <c r="AC128" s="2"/>
    </row>
    <row r="129" spans="1:29" x14ac:dyDescent="0.35">
      <c r="A129" s="18"/>
      <c r="B129" s="19" t="s">
        <v>23</v>
      </c>
      <c r="C129" s="20">
        <v>216</v>
      </c>
      <c r="D129" s="21">
        <v>216</v>
      </c>
      <c r="E129" s="21">
        <v>216</v>
      </c>
      <c r="F129" s="21">
        <v>216</v>
      </c>
      <c r="G129" s="21">
        <v>216</v>
      </c>
      <c r="H129" s="21">
        <v>216</v>
      </c>
      <c r="I129" s="21">
        <v>216</v>
      </c>
      <c r="J129" s="21">
        <v>216</v>
      </c>
      <c r="K129" s="21">
        <v>216</v>
      </c>
      <c r="L129" s="21">
        <v>216</v>
      </c>
      <c r="M129" s="21">
        <v>216</v>
      </c>
      <c r="N129" s="21">
        <v>216</v>
      </c>
      <c r="O129" s="21">
        <v>216</v>
      </c>
      <c r="P129" s="21">
        <v>216</v>
      </c>
      <c r="Q129" s="21">
        <v>216</v>
      </c>
      <c r="R129" s="21">
        <v>216</v>
      </c>
      <c r="S129" s="21">
        <v>216</v>
      </c>
      <c r="T129" s="21">
        <v>216</v>
      </c>
      <c r="U129" s="21">
        <v>216</v>
      </c>
      <c r="V129" s="21">
        <v>216</v>
      </c>
      <c r="W129" s="22">
        <v>216</v>
      </c>
      <c r="X129" s="2"/>
      <c r="Y129" s="37" t="str" cm="1">
        <f t="array" ref="Y129">INDEX(A:A, (ROW()*3)-(ROW($Y$127)*2))</f>
        <v>TKA3</v>
      </c>
      <c r="Z129" s="37" t="str" cm="1">
        <f t="array" ref="Z129">INDEX(W:W, (ROW()*3)-(ROW($Y$127)*2))</f>
        <v>0,556**</v>
      </c>
      <c r="AA129" s="39" cm="1">
        <f t="array" ref="AA129">INDEX(W:W, (ROW()*3)-(ROW($Y$127)*2)+1)</f>
        <v>6.0397042629561627E-19</v>
      </c>
      <c r="AB129" s="37" t="str">
        <f t="shared" si="2"/>
        <v>Valid</v>
      </c>
      <c r="AC129" s="2"/>
    </row>
    <row r="130" spans="1:29" ht="34.5" x14ac:dyDescent="0.35">
      <c r="A130" s="18" t="s">
        <v>47</v>
      </c>
      <c r="B130" s="14" t="s">
        <v>21</v>
      </c>
      <c r="C130" s="23" t="s">
        <v>369</v>
      </c>
      <c r="D130" s="24">
        <v>1</v>
      </c>
      <c r="E130" s="25" t="s">
        <v>334</v>
      </c>
      <c r="F130" s="25" t="s">
        <v>374</v>
      </c>
      <c r="G130" s="16">
        <v>0.12100887277903447</v>
      </c>
      <c r="H130" s="25" t="s">
        <v>375</v>
      </c>
      <c r="I130" s="25" t="s">
        <v>376</v>
      </c>
      <c r="J130" s="25" t="s">
        <v>369</v>
      </c>
      <c r="K130" s="25" t="s">
        <v>377</v>
      </c>
      <c r="L130" s="16">
        <v>9.4882618384995565E-2</v>
      </c>
      <c r="M130" s="25" t="s">
        <v>266</v>
      </c>
      <c r="N130" s="16">
        <v>9.240541558987711E-2</v>
      </c>
      <c r="O130" s="25" t="s">
        <v>378</v>
      </c>
      <c r="P130" s="25" t="s">
        <v>300</v>
      </c>
      <c r="Q130" s="25" t="s">
        <v>379</v>
      </c>
      <c r="R130" s="16">
        <v>0.1267270943910975</v>
      </c>
      <c r="S130" s="25" t="s">
        <v>380</v>
      </c>
      <c r="T130" s="16">
        <v>0.12426135397136132</v>
      </c>
      <c r="U130" s="25" t="s">
        <v>239</v>
      </c>
      <c r="V130" s="25" t="s">
        <v>275</v>
      </c>
      <c r="W130" s="26" t="s">
        <v>435</v>
      </c>
      <c r="X130" s="2"/>
      <c r="Y130" s="37" t="str" cm="1">
        <f t="array" ref="Y130">INDEX(A:A, (ROW()*3)-(ROW($Y$127)*2))</f>
        <v>TKA4</v>
      </c>
      <c r="Z130" s="37" t="str" cm="1">
        <f t="array" ref="Z130">INDEX(W:W, (ROW()*3)-(ROW($Y$127)*2))</f>
        <v>0,641**</v>
      </c>
      <c r="AA130" s="39" cm="1">
        <f t="array" ref="AA130">INDEX(W:W, (ROW()*3)-(ROW($Y$127)*2)+1)</f>
        <v>2.2984924806364548E-26</v>
      </c>
      <c r="AB130" s="37" t="str">
        <f t="shared" si="2"/>
        <v>Valid</v>
      </c>
      <c r="AC130" s="2"/>
    </row>
    <row r="131" spans="1:29" ht="23" x14ac:dyDescent="0.35">
      <c r="A131" s="13"/>
      <c r="B131" s="14" t="s">
        <v>22</v>
      </c>
      <c r="C131" s="27">
        <v>3.5179093318690239E-6</v>
      </c>
      <c r="D131" s="28"/>
      <c r="E131" s="16">
        <v>7.1916126927489114E-8</v>
      </c>
      <c r="F131" s="16">
        <v>3.3753104311071778E-2</v>
      </c>
      <c r="G131" s="16">
        <v>7.5952787392113891E-2</v>
      </c>
      <c r="H131" s="16">
        <v>3.0808830903552497E-3</v>
      </c>
      <c r="I131" s="16">
        <v>7.106441092534126E-3</v>
      </c>
      <c r="J131" s="16">
        <v>3.5341913168752191E-6</v>
      </c>
      <c r="K131" s="16">
        <v>5.3214354021955464E-4</v>
      </c>
      <c r="L131" s="16">
        <v>0.16467184403936011</v>
      </c>
      <c r="M131" s="16">
        <v>5.2840739565918003E-11</v>
      </c>
      <c r="N131" s="16">
        <v>0.17602584658490639</v>
      </c>
      <c r="O131" s="16">
        <v>5.7241668044197112E-5</v>
      </c>
      <c r="P131" s="16">
        <v>1.3427832414683811E-3</v>
      </c>
      <c r="Q131" s="16">
        <v>3.8964027919974646E-4</v>
      </c>
      <c r="R131" s="16">
        <v>6.2999379906374567E-2</v>
      </c>
      <c r="S131" s="16">
        <v>1.9029768972406345E-9</v>
      </c>
      <c r="T131" s="16">
        <v>6.8343471261455457E-2</v>
      </c>
      <c r="U131" s="16">
        <v>2.9638976357596256E-6</v>
      </c>
      <c r="V131" s="16">
        <v>3.5108540018462454E-2</v>
      </c>
      <c r="W131" s="17">
        <v>4.8880999614241892E-14</v>
      </c>
      <c r="X131" s="2"/>
      <c r="Y131" s="37" t="str" cm="1">
        <f t="array" ref="Y131">INDEX(A:A, (ROW()*3)-(ROW($Y$127)*2))</f>
        <v>TKA5</v>
      </c>
      <c r="Z131" s="37" t="str" cm="1">
        <f t="array" ref="Z131">INDEX(W:W, (ROW()*3)-(ROW($Y$127)*2))</f>
        <v>0,484**</v>
      </c>
      <c r="AA131" s="39" cm="1">
        <f t="array" ref="AA131">INDEX(W:W, (ROW()*3)-(ROW($Y$127)*2)+1)</f>
        <v>4.6670344888759397E-14</v>
      </c>
      <c r="AB131" s="37" t="str">
        <f t="shared" si="2"/>
        <v>Valid</v>
      </c>
      <c r="AC131" s="2"/>
    </row>
    <row r="132" spans="1:29" x14ac:dyDescent="0.35">
      <c r="A132" s="18"/>
      <c r="B132" s="19" t="s">
        <v>23</v>
      </c>
      <c r="C132" s="20">
        <v>216</v>
      </c>
      <c r="D132" s="21">
        <v>216</v>
      </c>
      <c r="E132" s="21">
        <v>216</v>
      </c>
      <c r="F132" s="21">
        <v>216</v>
      </c>
      <c r="G132" s="21">
        <v>216</v>
      </c>
      <c r="H132" s="21">
        <v>216</v>
      </c>
      <c r="I132" s="21">
        <v>216</v>
      </c>
      <c r="J132" s="21">
        <v>216</v>
      </c>
      <c r="K132" s="21">
        <v>216</v>
      </c>
      <c r="L132" s="21">
        <v>216</v>
      </c>
      <c r="M132" s="21">
        <v>216</v>
      </c>
      <c r="N132" s="21">
        <v>216</v>
      </c>
      <c r="O132" s="21">
        <v>216</v>
      </c>
      <c r="P132" s="21">
        <v>216</v>
      </c>
      <c r="Q132" s="21">
        <v>216</v>
      </c>
      <c r="R132" s="21">
        <v>216</v>
      </c>
      <c r="S132" s="21">
        <v>216</v>
      </c>
      <c r="T132" s="21">
        <v>216</v>
      </c>
      <c r="U132" s="21">
        <v>216</v>
      </c>
      <c r="V132" s="21">
        <v>216</v>
      </c>
      <c r="W132" s="22">
        <v>216</v>
      </c>
      <c r="X132" s="2"/>
      <c r="Y132" s="37" t="str" cm="1">
        <f t="array" ref="Y132">INDEX(A:A, (ROW()*3)-(ROW($Y$127)*2))</f>
        <v>TKA6</v>
      </c>
      <c r="Z132" s="37" t="str" cm="1">
        <f t="array" ref="Z132">INDEX(W:W, (ROW()*3)-(ROW($Y$127)*2))</f>
        <v>0,541**</v>
      </c>
      <c r="AA132" s="39" cm="1">
        <f t="array" ref="AA132">INDEX(W:W, (ROW()*3)-(ROW($Y$127)*2)+1)</f>
        <v>8.296568461311183E-18</v>
      </c>
      <c r="AB132" s="37" t="str">
        <f t="shared" si="2"/>
        <v>Valid</v>
      </c>
      <c r="AC132" s="2"/>
    </row>
    <row r="133" spans="1:29" ht="34.5" x14ac:dyDescent="0.35">
      <c r="A133" s="18" t="s">
        <v>48</v>
      </c>
      <c r="B133" s="14" t="s">
        <v>21</v>
      </c>
      <c r="C133" s="23" t="s">
        <v>253</v>
      </c>
      <c r="D133" s="25" t="s">
        <v>334</v>
      </c>
      <c r="E133" s="24">
        <v>1</v>
      </c>
      <c r="F133" s="25" t="s">
        <v>246</v>
      </c>
      <c r="G133" s="16">
        <v>0.10441414080246954</v>
      </c>
      <c r="H133" s="25" t="s">
        <v>191</v>
      </c>
      <c r="I133" s="25" t="s">
        <v>381</v>
      </c>
      <c r="J133" s="25" t="s">
        <v>382</v>
      </c>
      <c r="K133" s="25" t="s">
        <v>136</v>
      </c>
      <c r="L133" s="25" t="s">
        <v>190</v>
      </c>
      <c r="M133" s="25" t="s">
        <v>149</v>
      </c>
      <c r="N133" s="25" t="s">
        <v>147</v>
      </c>
      <c r="O133" s="25" t="s">
        <v>383</v>
      </c>
      <c r="P133" s="25" t="s">
        <v>226</v>
      </c>
      <c r="Q133" s="25" t="s">
        <v>224</v>
      </c>
      <c r="R133" s="25" t="s">
        <v>384</v>
      </c>
      <c r="S133" s="25" t="s">
        <v>355</v>
      </c>
      <c r="T133" s="25" t="s">
        <v>385</v>
      </c>
      <c r="U133" s="25" t="s">
        <v>390</v>
      </c>
      <c r="V133" s="25" t="s">
        <v>428</v>
      </c>
      <c r="W133" s="26" t="s">
        <v>290</v>
      </c>
      <c r="X133" s="2"/>
      <c r="Y133" s="37" t="str" cm="1">
        <f t="array" ref="Y133">INDEX(A:A, (ROW()*3)-(ROW($Y$127)*2))</f>
        <v>TKA7</v>
      </c>
      <c r="Z133" s="37" t="str" cm="1">
        <f t="array" ref="Z133">INDEX(W:W, (ROW()*3)-(ROW($Y$127)*2))</f>
        <v>0,580**</v>
      </c>
      <c r="AA133" s="39" cm="1">
        <f t="array" ref="AA133">INDEX(W:W, (ROW()*3)-(ROW($Y$127)*2)+1)</f>
        <v>8.3372470068587959E-21</v>
      </c>
      <c r="AB133" s="37" t="str">
        <f t="shared" si="2"/>
        <v>Valid</v>
      </c>
      <c r="AC133" s="2"/>
    </row>
    <row r="134" spans="1:29" ht="23" x14ac:dyDescent="0.35">
      <c r="A134" s="13"/>
      <c r="B134" s="14" t="s">
        <v>22</v>
      </c>
      <c r="C134" s="27">
        <v>1.97430340301364E-7</v>
      </c>
      <c r="D134" s="16">
        <v>7.1916126927489114E-8</v>
      </c>
      <c r="E134" s="28"/>
      <c r="F134" s="16">
        <v>2.5772907768783591E-6</v>
      </c>
      <c r="G134" s="16">
        <v>0.1260542247107343</v>
      </c>
      <c r="H134" s="16">
        <v>1.9947409232116329E-6</v>
      </c>
      <c r="I134" s="16">
        <v>1.6086225901058376E-2</v>
      </c>
      <c r="J134" s="16">
        <v>9.8640463701855381E-3</v>
      </c>
      <c r="K134" s="16">
        <v>1.5050192995939716E-4</v>
      </c>
      <c r="L134" s="16">
        <v>4.1745900106425024E-2</v>
      </c>
      <c r="M134" s="16">
        <v>4.872460916062744E-7</v>
      </c>
      <c r="N134" s="16">
        <v>2.7974742758685801E-8</v>
      </c>
      <c r="O134" s="16">
        <v>1.1549772677761405E-4</v>
      </c>
      <c r="P134" s="16">
        <v>2.3045367548410433E-9</v>
      </c>
      <c r="Q134" s="16">
        <v>8.2914938116902067E-7</v>
      </c>
      <c r="R134" s="16">
        <v>6.8124773243903785E-14</v>
      </c>
      <c r="S134" s="16">
        <v>4.8601554233572842E-11</v>
      </c>
      <c r="T134" s="16">
        <v>1.4283477616422881E-2</v>
      </c>
      <c r="U134" s="16">
        <v>1.5652751242804322E-3</v>
      </c>
      <c r="V134" s="16">
        <v>3.0633413183994793E-3</v>
      </c>
      <c r="W134" s="17">
        <v>6.0397042629561627E-19</v>
      </c>
      <c r="X134" s="2"/>
      <c r="Y134" s="37" t="str" cm="1">
        <f t="array" ref="Y134">INDEX(A:A, (ROW()*3)-(ROW($Y$127)*2))</f>
        <v>TKA8</v>
      </c>
      <c r="Z134" s="37" t="str" cm="1">
        <f t="array" ref="Z134">INDEX(W:W, (ROW()*3)-(ROW($Y$127)*2))</f>
        <v>0,585**</v>
      </c>
      <c r="AA134" s="39" cm="1">
        <f t="array" ref="AA134">INDEX(W:W, (ROW()*3)-(ROW($Y$127)*2)+1)</f>
        <v>3.148964224600256E-21</v>
      </c>
      <c r="AB134" s="37" t="str">
        <f t="shared" si="2"/>
        <v>Valid</v>
      </c>
      <c r="AC134" s="2"/>
    </row>
    <row r="135" spans="1:29" x14ac:dyDescent="0.35">
      <c r="A135" s="18"/>
      <c r="B135" s="19" t="s">
        <v>23</v>
      </c>
      <c r="C135" s="20">
        <v>216</v>
      </c>
      <c r="D135" s="21">
        <v>216</v>
      </c>
      <c r="E135" s="21">
        <v>216</v>
      </c>
      <c r="F135" s="21">
        <v>216</v>
      </c>
      <c r="G135" s="21">
        <v>216</v>
      </c>
      <c r="H135" s="21">
        <v>216</v>
      </c>
      <c r="I135" s="21">
        <v>216</v>
      </c>
      <c r="J135" s="21">
        <v>216</v>
      </c>
      <c r="K135" s="21">
        <v>216</v>
      </c>
      <c r="L135" s="21">
        <v>216</v>
      </c>
      <c r="M135" s="21">
        <v>216</v>
      </c>
      <c r="N135" s="21">
        <v>216</v>
      </c>
      <c r="O135" s="21">
        <v>216</v>
      </c>
      <c r="P135" s="21">
        <v>216</v>
      </c>
      <c r="Q135" s="21">
        <v>216</v>
      </c>
      <c r="R135" s="21">
        <v>216</v>
      </c>
      <c r="S135" s="21">
        <v>216</v>
      </c>
      <c r="T135" s="21">
        <v>216</v>
      </c>
      <c r="U135" s="21">
        <v>216</v>
      </c>
      <c r="V135" s="21">
        <v>216</v>
      </c>
      <c r="W135" s="22">
        <v>216</v>
      </c>
      <c r="X135" s="2"/>
      <c r="Y135" s="37" t="str" cm="1">
        <f t="array" ref="Y135">INDEX(A:A, (ROW()*3)-(ROW($Y$127)*2))</f>
        <v>TKA9</v>
      </c>
      <c r="Z135" s="37" t="str" cm="1">
        <f t="array" ref="Z135">INDEX(W:W, (ROW()*3)-(ROW($Y$127)*2))</f>
        <v>0,505**</v>
      </c>
      <c r="AA135" s="39" cm="1">
        <f t="array" ref="AA135">INDEX(W:W, (ROW()*3)-(ROW($Y$127)*2)+1)</f>
        <v>2.1655430223066758E-15</v>
      </c>
      <c r="AB135" s="37" t="str">
        <f t="shared" si="2"/>
        <v>Valid</v>
      </c>
      <c r="AC135" s="2"/>
    </row>
    <row r="136" spans="1:29" ht="34.5" x14ac:dyDescent="0.35">
      <c r="A136" s="18" t="s">
        <v>49</v>
      </c>
      <c r="B136" s="14" t="s">
        <v>21</v>
      </c>
      <c r="C136" s="23" t="s">
        <v>265</v>
      </c>
      <c r="D136" s="25" t="s">
        <v>374</v>
      </c>
      <c r="E136" s="25" t="s">
        <v>246</v>
      </c>
      <c r="F136" s="24">
        <v>1</v>
      </c>
      <c r="G136" s="25" t="s">
        <v>341</v>
      </c>
      <c r="H136" s="25" t="s">
        <v>386</v>
      </c>
      <c r="I136" s="25" t="s">
        <v>370</v>
      </c>
      <c r="J136" s="25" t="s">
        <v>180</v>
      </c>
      <c r="K136" s="25" t="s">
        <v>338</v>
      </c>
      <c r="L136" s="25" t="s">
        <v>140</v>
      </c>
      <c r="M136" s="25" t="s">
        <v>387</v>
      </c>
      <c r="N136" s="25" t="s">
        <v>285</v>
      </c>
      <c r="O136" s="16">
        <v>0.1253533336960648</v>
      </c>
      <c r="P136" s="25" t="s">
        <v>223</v>
      </c>
      <c r="Q136" s="25" t="s">
        <v>388</v>
      </c>
      <c r="R136" s="25" t="s">
        <v>182</v>
      </c>
      <c r="S136" s="25" t="s">
        <v>389</v>
      </c>
      <c r="T136" s="25" t="s">
        <v>322</v>
      </c>
      <c r="U136" s="25" t="s">
        <v>301</v>
      </c>
      <c r="V136" s="25" t="s">
        <v>429</v>
      </c>
      <c r="W136" s="26" t="s">
        <v>436</v>
      </c>
      <c r="X136" s="2"/>
      <c r="Y136" s="37" t="str" cm="1">
        <f t="array" ref="Y136">INDEX(A:A, (ROW()*3)-(ROW($Y$127)*2))</f>
        <v>TKA10</v>
      </c>
      <c r="Z136" s="37" t="str" cm="1">
        <f t="array" ref="Z136">INDEX(W:W, (ROW()*3)-(ROW($Y$127)*2))</f>
        <v>0,551**</v>
      </c>
      <c r="AA136" s="39" cm="1">
        <f t="array" ref="AA136">INDEX(W:W, (ROW()*3)-(ROW($Y$127)*2)+1)</f>
        <v>1.6324651062501139E-18</v>
      </c>
      <c r="AB136" s="37" t="str">
        <f t="shared" si="2"/>
        <v>Valid</v>
      </c>
      <c r="AC136" s="2"/>
    </row>
    <row r="137" spans="1:29" ht="23" x14ac:dyDescent="0.35">
      <c r="A137" s="13"/>
      <c r="B137" s="14" t="s">
        <v>22</v>
      </c>
      <c r="C137" s="27">
        <v>8.9349954427080624E-14</v>
      </c>
      <c r="D137" s="16">
        <v>3.3753104311071778E-2</v>
      </c>
      <c r="E137" s="16">
        <v>2.5772907768783591E-6</v>
      </c>
      <c r="F137" s="28"/>
      <c r="G137" s="16">
        <v>1.8555699477438821E-3</v>
      </c>
      <c r="H137" s="16">
        <v>3.202742924160695E-6</v>
      </c>
      <c r="I137" s="16">
        <v>1.2308169075786589E-5</v>
      </c>
      <c r="J137" s="16">
        <v>7.8025111135718922E-3</v>
      </c>
      <c r="K137" s="16">
        <v>9.2769268394952744E-9</v>
      </c>
      <c r="L137" s="16">
        <v>9.0371248604053446E-5</v>
      </c>
      <c r="M137" s="16">
        <v>2.8981655431747153E-7</v>
      </c>
      <c r="N137" s="16">
        <v>2.8533163888499231E-15</v>
      </c>
      <c r="O137" s="16">
        <v>6.5932807659874956E-2</v>
      </c>
      <c r="P137" s="16">
        <v>7.3401716357280098E-11</v>
      </c>
      <c r="Q137" s="16">
        <v>3.3214551136794733E-46</v>
      </c>
      <c r="R137" s="16">
        <v>1.2383378808838468E-4</v>
      </c>
      <c r="S137" s="16">
        <v>1.7462203984764681E-4</v>
      </c>
      <c r="T137" s="16">
        <v>8.6825617700887603E-7</v>
      </c>
      <c r="U137" s="16">
        <v>3.9796698903668236E-3</v>
      </c>
      <c r="V137" s="16">
        <v>5.032024173732157E-10</v>
      </c>
      <c r="W137" s="17">
        <v>2.2984924806364548E-26</v>
      </c>
      <c r="X137" s="2"/>
      <c r="Y137" s="37" t="str" cm="1">
        <f t="array" ref="Y137">INDEX(A:A, (ROW()*3)-(ROW($Y$127)*2))</f>
        <v>TKA11</v>
      </c>
      <c r="Z137" s="37" t="str" cm="1">
        <f t="array" ref="Z137">INDEX(W:W, (ROW()*3)-(ROW($Y$127)*2))</f>
        <v>0,601**</v>
      </c>
      <c r="AA137" s="39" cm="1">
        <f t="array" ref="AA137">INDEX(W:W, (ROW()*3)-(ROW($Y$127)*2)+1)</f>
        <v>1.2602116732608317E-22</v>
      </c>
      <c r="AB137" s="37" t="str">
        <f t="shared" si="2"/>
        <v>Valid</v>
      </c>
      <c r="AC137" s="2"/>
    </row>
    <row r="138" spans="1:29" x14ac:dyDescent="0.35">
      <c r="A138" s="18"/>
      <c r="B138" s="19" t="s">
        <v>23</v>
      </c>
      <c r="C138" s="20">
        <v>216</v>
      </c>
      <c r="D138" s="21">
        <v>216</v>
      </c>
      <c r="E138" s="21">
        <v>216</v>
      </c>
      <c r="F138" s="21">
        <v>216</v>
      </c>
      <c r="G138" s="21">
        <v>216</v>
      </c>
      <c r="H138" s="21">
        <v>216</v>
      </c>
      <c r="I138" s="21">
        <v>216</v>
      </c>
      <c r="J138" s="21">
        <v>216</v>
      </c>
      <c r="K138" s="21">
        <v>216</v>
      </c>
      <c r="L138" s="21">
        <v>216</v>
      </c>
      <c r="M138" s="21">
        <v>216</v>
      </c>
      <c r="N138" s="21">
        <v>216</v>
      </c>
      <c r="O138" s="21">
        <v>216</v>
      </c>
      <c r="P138" s="21">
        <v>216</v>
      </c>
      <c r="Q138" s="21">
        <v>216</v>
      </c>
      <c r="R138" s="21">
        <v>216</v>
      </c>
      <c r="S138" s="21">
        <v>216</v>
      </c>
      <c r="T138" s="21">
        <v>216</v>
      </c>
      <c r="U138" s="21">
        <v>216</v>
      </c>
      <c r="V138" s="21">
        <v>216</v>
      </c>
      <c r="W138" s="22">
        <v>216</v>
      </c>
      <c r="X138" s="2"/>
      <c r="Y138" s="37" t="str" cm="1">
        <f t="array" ref="Y138">INDEX(A:A, (ROW()*3)-(ROW($Y$127)*2))</f>
        <v>TKA12</v>
      </c>
      <c r="Z138" s="37" t="str" cm="1">
        <f t="array" ref="Z138">INDEX(W:W, (ROW()*3)-(ROW($Y$127)*2))</f>
        <v>0,627**</v>
      </c>
      <c r="AA138" s="39" cm="1">
        <f t="array" ref="AA138">INDEX(W:W, (ROW()*3)-(ROW($Y$127)*2)+1)</f>
        <v>5.9501764868394432E-25</v>
      </c>
      <c r="AB138" s="37" t="str">
        <f t="shared" si="2"/>
        <v>Valid</v>
      </c>
      <c r="AC138" s="2"/>
    </row>
    <row r="139" spans="1:29" ht="34.5" x14ac:dyDescent="0.35">
      <c r="A139" s="18" t="s">
        <v>50</v>
      </c>
      <c r="B139" s="14" t="s">
        <v>21</v>
      </c>
      <c r="C139" s="23" t="s">
        <v>369</v>
      </c>
      <c r="D139" s="16">
        <v>0.12100887277903447</v>
      </c>
      <c r="E139" s="16">
        <v>0.10441414080246954</v>
      </c>
      <c r="F139" s="25" t="s">
        <v>341</v>
      </c>
      <c r="G139" s="24">
        <v>1</v>
      </c>
      <c r="H139" s="25" t="s">
        <v>390</v>
      </c>
      <c r="I139" s="25" t="s">
        <v>225</v>
      </c>
      <c r="J139" s="25" t="s">
        <v>391</v>
      </c>
      <c r="K139" s="25" t="s">
        <v>376</v>
      </c>
      <c r="L139" s="25" t="s">
        <v>392</v>
      </c>
      <c r="M139" s="16">
        <v>0.10436400421151859</v>
      </c>
      <c r="N139" s="25" t="s">
        <v>393</v>
      </c>
      <c r="O139" s="25" t="s">
        <v>394</v>
      </c>
      <c r="P139" s="25" t="s">
        <v>395</v>
      </c>
      <c r="Q139" s="25" t="s">
        <v>332</v>
      </c>
      <c r="R139" s="25" t="s">
        <v>291</v>
      </c>
      <c r="S139" s="16">
        <v>7.2553554918814128E-2</v>
      </c>
      <c r="T139" s="25" t="s">
        <v>396</v>
      </c>
      <c r="U139" s="25" t="s">
        <v>282</v>
      </c>
      <c r="V139" s="25" t="s">
        <v>206</v>
      </c>
      <c r="W139" s="26" t="s">
        <v>437</v>
      </c>
      <c r="X139" s="2"/>
      <c r="Y139" s="37" t="str" cm="1">
        <f t="array" ref="Y139">INDEX(A:A, (ROW()*3)-(ROW($Y$127)*2))</f>
        <v>TKA13</v>
      </c>
      <c r="Z139" s="37" t="str" cm="1">
        <f t="array" ref="Z139">INDEX(W:W, (ROW()*3)-(ROW($Y$127)*2))</f>
        <v>0,423**</v>
      </c>
      <c r="AA139" s="39" cm="1">
        <f t="array" ref="AA139">INDEX(W:W, (ROW()*3)-(ROW($Y$127)*2)+1)</f>
        <v>9.1299326165803451E-11</v>
      </c>
      <c r="AB139" s="37" t="str">
        <f t="shared" si="2"/>
        <v>Valid</v>
      </c>
      <c r="AC139" s="2"/>
    </row>
    <row r="140" spans="1:29" ht="23" x14ac:dyDescent="0.35">
      <c r="A140" s="13"/>
      <c r="B140" s="14" t="s">
        <v>22</v>
      </c>
      <c r="C140" s="27">
        <v>3.4912251659131382E-6</v>
      </c>
      <c r="D140" s="16">
        <v>7.5952787392113891E-2</v>
      </c>
      <c r="E140" s="16">
        <v>0.1260542247107343</v>
      </c>
      <c r="F140" s="16">
        <v>1.8555699477438821E-3</v>
      </c>
      <c r="G140" s="28"/>
      <c r="H140" s="16">
        <v>1.5344381967073162E-3</v>
      </c>
      <c r="I140" s="16">
        <v>1.4502874219310312E-8</v>
      </c>
      <c r="J140" s="16">
        <v>3.4525160492297931E-12</v>
      </c>
      <c r="K140" s="16">
        <v>7.1426294358015808E-3</v>
      </c>
      <c r="L140" s="16">
        <v>3.9973392350057819E-7</v>
      </c>
      <c r="M140" s="16">
        <v>0.12623719972230191</v>
      </c>
      <c r="N140" s="16">
        <v>9.5886062122212882E-4</v>
      </c>
      <c r="O140" s="16">
        <v>1.3639925843243221E-2</v>
      </c>
      <c r="P140" s="16">
        <v>2.7254508107837645E-5</v>
      </c>
      <c r="Q140" s="16">
        <v>1.5051758178036815E-2</v>
      </c>
      <c r="R140" s="16">
        <v>6.0007849398586948E-6</v>
      </c>
      <c r="S140" s="16">
        <v>0.28845024562240906</v>
      </c>
      <c r="T140" s="16">
        <v>1.2771943489061134E-3</v>
      </c>
      <c r="U140" s="16">
        <v>2.816153227594272E-3</v>
      </c>
      <c r="V140" s="16">
        <v>5.8157941570915805E-7</v>
      </c>
      <c r="W140" s="17">
        <v>4.6670344888759397E-14</v>
      </c>
      <c r="X140" s="2"/>
      <c r="Y140" s="37" t="str" cm="1">
        <f t="array" ref="Y140">INDEX(A:A, (ROW()*3)-(ROW($Y$127)*2))</f>
        <v>TKA14</v>
      </c>
      <c r="Z140" s="37" t="str" cm="1">
        <f t="array" ref="Z140">INDEX(W:W, (ROW()*3)-(ROW($Y$127)*2))</f>
        <v>0,704**</v>
      </c>
      <c r="AA140" s="39" cm="1">
        <f t="array" ref="AA140">INDEX(W:W, (ROW()*3)-(ROW($Y$127)*2)+1)</f>
        <v>1.3855733837077052E-33</v>
      </c>
      <c r="AB140" s="37" t="str">
        <f t="shared" si="2"/>
        <v>Valid</v>
      </c>
      <c r="AC140" s="2"/>
    </row>
    <row r="141" spans="1:29" x14ac:dyDescent="0.35">
      <c r="A141" s="18"/>
      <c r="B141" s="19" t="s">
        <v>23</v>
      </c>
      <c r="C141" s="20">
        <v>216</v>
      </c>
      <c r="D141" s="21">
        <v>216</v>
      </c>
      <c r="E141" s="21">
        <v>216</v>
      </c>
      <c r="F141" s="21">
        <v>216</v>
      </c>
      <c r="G141" s="21">
        <v>216</v>
      </c>
      <c r="H141" s="21">
        <v>216</v>
      </c>
      <c r="I141" s="21">
        <v>216</v>
      </c>
      <c r="J141" s="21">
        <v>216</v>
      </c>
      <c r="K141" s="21">
        <v>216</v>
      </c>
      <c r="L141" s="21">
        <v>216</v>
      </c>
      <c r="M141" s="21">
        <v>216</v>
      </c>
      <c r="N141" s="21">
        <v>216</v>
      </c>
      <c r="O141" s="21">
        <v>216</v>
      </c>
      <c r="P141" s="21">
        <v>216</v>
      </c>
      <c r="Q141" s="21">
        <v>216</v>
      </c>
      <c r="R141" s="21">
        <v>216</v>
      </c>
      <c r="S141" s="21">
        <v>216</v>
      </c>
      <c r="T141" s="21">
        <v>216</v>
      </c>
      <c r="U141" s="21">
        <v>216</v>
      </c>
      <c r="V141" s="21">
        <v>216</v>
      </c>
      <c r="W141" s="22">
        <v>216</v>
      </c>
      <c r="X141" s="2"/>
      <c r="Y141" s="37" t="str" cm="1">
        <f t="array" ref="Y141">INDEX(A:A, (ROW()*3)-(ROW($Y$127)*2))</f>
        <v>TKA15</v>
      </c>
      <c r="Z141" s="37" t="str" cm="1">
        <f t="array" ref="Z141">INDEX(W:W, (ROW()*3)-(ROW($Y$127)*2))</f>
        <v>0,652**</v>
      </c>
      <c r="AA141" s="39" cm="1">
        <f t="array" ref="AA141">INDEX(W:W, (ROW()*3)-(ROW($Y$127)*2)+1)</f>
        <v>1.578195025910622E-27</v>
      </c>
      <c r="AB141" s="37" t="str">
        <f t="shared" si="2"/>
        <v>Valid</v>
      </c>
      <c r="AC141" s="2"/>
    </row>
    <row r="142" spans="1:29" ht="34.5" x14ac:dyDescent="0.35">
      <c r="A142" s="18" t="s">
        <v>51</v>
      </c>
      <c r="B142" s="14" t="s">
        <v>21</v>
      </c>
      <c r="C142" s="23" t="s">
        <v>209</v>
      </c>
      <c r="D142" s="25" t="s">
        <v>375</v>
      </c>
      <c r="E142" s="25" t="s">
        <v>191</v>
      </c>
      <c r="F142" s="25" t="s">
        <v>386</v>
      </c>
      <c r="G142" s="25" t="s">
        <v>390</v>
      </c>
      <c r="H142" s="24">
        <v>1</v>
      </c>
      <c r="I142" s="25" t="s">
        <v>397</v>
      </c>
      <c r="J142" s="25" t="s">
        <v>254</v>
      </c>
      <c r="K142" s="25" t="s">
        <v>383</v>
      </c>
      <c r="L142" s="25" t="s">
        <v>322</v>
      </c>
      <c r="M142" s="25" t="s">
        <v>398</v>
      </c>
      <c r="N142" s="25" t="s">
        <v>150</v>
      </c>
      <c r="O142" s="25" t="s">
        <v>399</v>
      </c>
      <c r="P142" s="25" t="s">
        <v>136</v>
      </c>
      <c r="Q142" s="25" t="s">
        <v>400</v>
      </c>
      <c r="R142" s="25" t="s">
        <v>389</v>
      </c>
      <c r="S142" s="25" t="s">
        <v>381</v>
      </c>
      <c r="T142" s="25" t="s">
        <v>159</v>
      </c>
      <c r="U142" s="25" t="s">
        <v>393</v>
      </c>
      <c r="V142" s="25" t="s">
        <v>291</v>
      </c>
      <c r="W142" s="26" t="s">
        <v>289</v>
      </c>
      <c r="X142" s="2"/>
      <c r="Y142" s="37" t="str" cm="1">
        <f t="array" ref="Y142">INDEX(A:A, (ROW()*3)-(ROW($Y$127)*2))</f>
        <v>TKA16</v>
      </c>
      <c r="Z142" s="37" t="str" cm="1">
        <f t="array" ref="Z142">INDEX(W:W, (ROW()*3)-(ROW($Y$127)*2))</f>
        <v>0,579**</v>
      </c>
      <c r="AA142" s="39" cm="1">
        <f t="array" ref="AA142">INDEX(W:W, (ROW()*3)-(ROW($Y$127)*2)+1)</f>
        <v>1.026277074278225E-20</v>
      </c>
      <c r="AB142" s="37" t="str">
        <f t="shared" si="2"/>
        <v>Valid</v>
      </c>
      <c r="AC142" s="2"/>
    </row>
    <row r="143" spans="1:29" ht="23" x14ac:dyDescent="0.35">
      <c r="A143" s="13"/>
      <c r="B143" s="14" t="s">
        <v>22</v>
      </c>
      <c r="C143" s="27">
        <v>4.4154754078366547E-5</v>
      </c>
      <c r="D143" s="16">
        <v>3.0808830903552497E-3</v>
      </c>
      <c r="E143" s="16">
        <v>1.9947409232116329E-6</v>
      </c>
      <c r="F143" s="16">
        <v>3.202742924160695E-6</v>
      </c>
      <c r="G143" s="16">
        <v>1.5344381967073162E-3</v>
      </c>
      <c r="H143" s="28"/>
      <c r="I143" s="16">
        <v>1.4531358407159561E-4</v>
      </c>
      <c r="J143" s="16">
        <v>2.2971525229763002E-7</v>
      </c>
      <c r="K143" s="16">
        <v>1.1649027022763506E-4</v>
      </c>
      <c r="L143" s="16">
        <v>8.737063131568431E-7</v>
      </c>
      <c r="M143" s="16">
        <v>2.4715571892827104E-5</v>
      </c>
      <c r="N143" s="16">
        <v>1.7213452754398007E-3</v>
      </c>
      <c r="O143" s="16">
        <v>5.1016737083908571E-5</v>
      </c>
      <c r="P143" s="16">
        <v>1.5487783173396061E-4</v>
      </c>
      <c r="Q143" s="16">
        <v>1.654629385017457E-4</v>
      </c>
      <c r="R143" s="16">
        <v>1.6648505402442899E-4</v>
      </c>
      <c r="S143" s="16">
        <v>1.6026680443281569E-2</v>
      </c>
      <c r="T143" s="16">
        <v>7.86644873443066E-4</v>
      </c>
      <c r="U143" s="16">
        <v>9.6685699837653356E-4</v>
      </c>
      <c r="V143" s="16">
        <v>6.2757947570010296E-6</v>
      </c>
      <c r="W143" s="17">
        <v>8.296568461311183E-18</v>
      </c>
      <c r="X143" s="2"/>
      <c r="Y143" s="37" t="str" cm="1">
        <f t="array" ref="Y143">INDEX(A:A, (ROW()*3)-(ROW($Y$127)*2))</f>
        <v>TKA17</v>
      </c>
      <c r="Z143" s="37" t="str" cm="1">
        <f t="array" ref="Z143">INDEX(W:W, (ROW()*3)-(ROW($Y$127)*2))</f>
        <v>0,453**</v>
      </c>
      <c r="AA143" s="39" cm="1">
        <f t="array" ref="AA143">INDEX(W:W, (ROW()*3)-(ROW($Y$127)*2)+1)</f>
        <v>2.4756037949506155E-12</v>
      </c>
      <c r="AB143" s="37" t="str">
        <f t="shared" si="2"/>
        <v>Valid</v>
      </c>
      <c r="AC143" s="2"/>
    </row>
    <row r="144" spans="1:29" x14ac:dyDescent="0.35">
      <c r="A144" s="18"/>
      <c r="B144" s="19" t="s">
        <v>23</v>
      </c>
      <c r="C144" s="20">
        <v>216</v>
      </c>
      <c r="D144" s="21">
        <v>216</v>
      </c>
      <c r="E144" s="21">
        <v>216</v>
      </c>
      <c r="F144" s="21">
        <v>216</v>
      </c>
      <c r="G144" s="21">
        <v>216</v>
      </c>
      <c r="H144" s="21">
        <v>216</v>
      </c>
      <c r="I144" s="21">
        <v>216</v>
      </c>
      <c r="J144" s="21">
        <v>216</v>
      </c>
      <c r="K144" s="21">
        <v>216</v>
      </c>
      <c r="L144" s="21">
        <v>216</v>
      </c>
      <c r="M144" s="21">
        <v>216</v>
      </c>
      <c r="N144" s="21">
        <v>216</v>
      </c>
      <c r="O144" s="21">
        <v>216</v>
      </c>
      <c r="P144" s="21">
        <v>216</v>
      </c>
      <c r="Q144" s="21">
        <v>216</v>
      </c>
      <c r="R144" s="21">
        <v>216</v>
      </c>
      <c r="S144" s="21">
        <v>216</v>
      </c>
      <c r="T144" s="21">
        <v>216</v>
      </c>
      <c r="U144" s="21">
        <v>216</v>
      </c>
      <c r="V144" s="21">
        <v>216</v>
      </c>
      <c r="W144" s="22">
        <v>216</v>
      </c>
      <c r="X144" s="2"/>
      <c r="Y144" s="37" t="str" cm="1">
        <f t="array" ref="Y144">INDEX(A:A, (ROW()*3)-(ROW($Y$127)*2))</f>
        <v>TKA18</v>
      </c>
      <c r="Z144" s="37" t="str" cm="1">
        <f t="array" ref="Z144">INDEX(W:W, (ROW()*3)-(ROW($Y$127)*2))</f>
        <v>0,490**</v>
      </c>
      <c r="AA144" s="39" cm="1">
        <f t="array" ref="AA144">INDEX(W:W, (ROW()*3)-(ROW($Y$127)*2)+1)</f>
        <v>1.8343751995807659E-14</v>
      </c>
      <c r="AB144" s="37" t="str">
        <f t="shared" si="2"/>
        <v>Valid</v>
      </c>
      <c r="AC144" s="2"/>
    </row>
    <row r="145" spans="1:29" ht="34.5" x14ac:dyDescent="0.35">
      <c r="A145" s="18" t="s">
        <v>52</v>
      </c>
      <c r="B145" s="14" t="s">
        <v>21</v>
      </c>
      <c r="C145" s="23" t="s">
        <v>327</v>
      </c>
      <c r="D145" s="25" t="s">
        <v>376</v>
      </c>
      <c r="E145" s="25" t="s">
        <v>381</v>
      </c>
      <c r="F145" s="25" t="s">
        <v>370</v>
      </c>
      <c r="G145" s="25" t="s">
        <v>225</v>
      </c>
      <c r="H145" s="25" t="s">
        <v>397</v>
      </c>
      <c r="I145" s="24">
        <v>1</v>
      </c>
      <c r="J145" s="25" t="s">
        <v>401</v>
      </c>
      <c r="K145" s="25" t="s">
        <v>201</v>
      </c>
      <c r="L145" s="25" t="s">
        <v>352</v>
      </c>
      <c r="M145" s="25" t="s">
        <v>402</v>
      </c>
      <c r="N145" s="25" t="s">
        <v>303</v>
      </c>
      <c r="O145" s="25" t="s">
        <v>403</v>
      </c>
      <c r="P145" s="25" t="s">
        <v>316</v>
      </c>
      <c r="Q145" s="25" t="s">
        <v>318</v>
      </c>
      <c r="R145" s="25" t="s">
        <v>378</v>
      </c>
      <c r="S145" s="25" t="s">
        <v>404</v>
      </c>
      <c r="T145" s="25" t="s">
        <v>235</v>
      </c>
      <c r="U145" s="25" t="s">
        <v>287</v>
      </c>
      <c r="V145" s="25" t="s">
        <v>430</v>
      </c>
      <c r="W145" s="26" t="s">
        <v>438</v>
      </c>
      <c r="X145" s="2"/>
      <c r="Y145" s="37" t="str" cm="1">
        <f t="array" ref="Y145">INDEX(A:A, (ROW()*3)-(ROW($Y$127)*2))</f>
        <v>TKA19</v>
      </c>
      <c r="Z145" s="37" t="str" cm="1">
        <f t="array" ref="Z145">INDEX(W:W, (ROW()*3)-(ROW($Y$127)*2))</f>
        <v>0,505**</v>
      </c>
      <c r="AA145" s="39" cm="1">
        <f t="array" ref="AA145">INDEX(W:W, (ROW()*3)-(ROW($Y$127)*2)+1)</f>
        <v>2.2326735310777861E-15</v>
      </c>
      <c r="AB145" s="37" t="str">
        <f t="shared" si="2"/>
        <v>Valid</v>
      </c>
      <c r="AC145" s="2"/>
    </row>
    <row r="146" spans="1:29" ht="23" x14ac:dyDescent="0.35">
      <c r="A146" s="13"/>
      <c r="B146" s="14" t="s">
        <v>22</v>
      </c>
      <c r="C146" s="27">
        <v>3.4648537957387071E-3</v>
      </c>
      <c r="D146" s="16">
        <v>7.106441092534126E-3</v>
      </c>
      <c r="E146" s="16">
        <v>1.6086225901058376E-2</v>
      </c>
      <c r="F146" s="16">
        <v>1.2308169075786589E-5</v>
      </c>
      <c r="G146" s="16">
        <v>1.4502874219310312E-8</v>
      </c>
      <c r="H146" s="16">
        <v>1.4531358407159561E-4</v>
      </c>
      <c r="I146" s="28"/>
      <c r="J146" s="16">
        <v>4.3107018803508894E-4</v>
      </c>
      <c r="K146" s="16">
        <v>4.2271694381995281E-2</v>
      </c>
      <c r="L146" s="16">
        <v>2.1883510927328945E-5</v>
      </c>
      <c r="M146" s="16">
        <v>1.5155066973755154E-12</v>
      </c>
      <c r="N146" s="16">
        <v>3.7420300969700812E-6</v>
      </c>
      <c r="O146" s="16">
        <v>3.8700270752074183E-2</v>
      </c>
      <c r="P146" s="16">
        <v>1.4591754637626647E-5</v>
      </c>
      <c r="Q146" s="16">
        <v>2.273224146413999E-9</v>
      </c>
      <c r="R146" s="16">
        <v>5.9002873835639964E-5</v>
      </c>
      <c r="S146" s="16">
        <v>1.4546072083375482E-2</v>
      </c>
      <c r="T146" s="16">
        <v>2.1697133056114125E-8</v>
      </c>
      <c r="U146" s="16">
        <v>6.3189667437656962E-5</v>
      </c>
      <c r="V146" s="16">
        <v>4.478646098960266E-39</v>
      </c>
      <c r="W146" s="17">
        <v>8.3372470068587959E-21</v>
      </c>
      <c r="X146" s="2"/>
      <c r="Y146" s="37" t="str" cm="1">
        <f t="array" ref="Y146">INDEX(A:A, (ROW()*3)-(ROW($Y$127)*2))</f>
        <v>TKA20</v>
      </c>
      <c r="Z146" s="37" t="str" cm="1">
        <f t="array" ref="Z146">INDEX(W:W, (ROW()*3)-(ROW($Y$127)*2))</f>
        <v>0,637**</v>
      </c>
      <c r="AA146" s="39" cm="1">
        <f t="array" ref="AA146">INDEX(W:W, (ROW()*3)-(ROW($Y$127)*2)+1)</f>
        <v>5.6630943517300426E-26</v>
      </c>
      <c r="AB146" s="37" t="str">
        <f t="shared" si="2"/>
        <v>Valid</v>
      </c>
      <c r="AC146" s="2"/>
    </row>
    <row r="147" spans="1:29" x14ac:dyDescent="0.35">
      <c r="A147" s="18"/>
      <c r="B147" s="19" t="s">
        <v>23</v>
      </c>
      <c r="C147" s="20">
        <v>216</v>
      </c>
      <c r="D147" s="21">
        <v>216</v>
      </c>
      <c r="E147" s="21">
        <v>216</v>
      </c>
      <c r="F147" s="21">
        <v>216</v>
      </c>
      <c r="G147" s="21">
        <v>216</v>
      </c>
      <c r="H147" s="21">
        <v>216</v>
      </c>
      <c r="I147" s="21">
        <v>216</v>
      </c>
      <c r="J147" s="21">
        <v>216</v>
      </c>
      <c r="K147" s="21">
        <v>216</v>
      </c>
      <c r="L147" s="21">
        <v>216</v>
      </c>
      <c r="M147" s="21">
        <v>216</v>
      </c>
      <c r="N147" s="21">
        <v>216</v>
      </c>
      <c r="O147" s="21">
        <v>216</v>
      </c>
      <c r="P147" s="21">
        <v>216</v>
      </c>
      <c r="Q147" s="21">
        <v>216</v>
      </c>
      <c r="R147" s="21">
        <v>216</v>
      </c>
      <c r="S147" s="21">
        <v>216</v>
      </c>
      <c r="T147" s="21">
        <v>216</v>
      </c>
      <c r="U147" s="21">
        <v>216</v>
      </c>
      <c r="V147" s="21">
        <v>216</v>
      </c>
      <c r="W147" s="22">
        <v>216</v>
      </c>
      <c r="X147" s="2"/>
      <c r="Y147" s="2"/>
      <c r="Z147" s="2"/>
      <c r="AA147" s="2"/>
      <c r="AB147" s="2"/>
      <c r="AC147" s="2"/>
    </row>
    <row r="148" spans="1:29" ht="34.5" x14ac:dyDescent="0.35">
      <c r="A148" s="18" t="s">
        <v>53</v>
      </c>
      <c r="B148" s="14" t="s">
        <v>21</v>
      </c>
      <c r="C148" s="23" t="s">
        <v>261</v>
      </c>
      <c r="D148" s="25" t="s">
        <v>369</v>
      </c>
      <c r="E148" s="25" t="s">
        <v>382</v>
      </c>
      <c r="F148" s="25" t="s">
        <v>180</v>
      </c>
      <c r="G148" s="25" t="s">
        <v>391</v>
      </c>
      <c r="H148" s="25" t="s">
        <v>254</v>
      </c>
      <c r="I148" s="25" t="s">
        <v>401</v>
      </c>
      <c r="J148" s="24">
        <v>1</v>
      </c>
      <c r="K148" s="25" t="s">
        <v>405</v>
      </c>
      <c r="L148" s="25" t="s">
        <v>276</v>
      </c>
      <c r="M148" s="25" t="s">
        <v>377</v>
      </c>
      <c r="N148" s="16">
        <v>0.12952580269826072</v>
      </c>
      <c r="O148" s="25" t="s">
        <v>331</v>
      </c>
      <c r="P148" s="25" t="s">
        <v>406</v>
      </c>
      <c r="Q148" s="25" t="s">
        <v>256</v>
      </c>
      <c r="R148" s="25" t="s">
        <v>407</v>
      </c>
      <c r="S148" s="25" t="s">
        <v>408</v>
      </c>
      <c r="T148" s="25" t="s">
        <v>328</v>
      </c>
      <c r="U148" s="25" t="s">
        <v>209</v>
      </c>
      <c r="V148" s="25" t="s">
        <v>320</v>
      </c>
      <c r="W148" s="26" t="s">
        <v>439</v>
      </c>
      <c r="X148" s="2"/>
      <c r="Y148" s="2"/>
      <c r="Z148" s="2"/>
      <c r="AA148" s="2"/>
      <c r="AB148" s="2"/>
      <c r="AC148" s="2"/>
    </row>
    <row r="149" spans="1:29" ht="23" x14ac:dyDescent="0.35">
      <c r="A149" s="13"/>
      <c r="B149" s="14" t="s">
        <v>22</v>
      </c>
      <c r="C149" s="27">
        <v>1.6761530707496218E-9</v>
      </c>
      <c r="D149" s="16">
        <v>3.5341913168752191E-6</v>
      </c>
      <c r="E149" s="16">
        <v>9.8640463701855381E-3</v>
      </c>
      <c r="F149" s="16">
        <v>7.8025111135718922E-3</v>
      </c>
      <c r="G149" s="16">
        <v>3.4525160492297931E-12</v>
      </c>
      <c r="H149" s="16">
        <v>2.2971525229763002E-7</v>
      </c>
      <c r="I149" s="16">
        <v>4.3107018803508894E-4</v>
      </c>
      <c r="J149" s="28"/>
      <c r="K149" s="16">
        <v>4.5711637407709091E-8</v>
      </c>
      <c r="L149" s="16">
        <v>2.0679049671332544E-12</v>
      </c>
      <c r="M149" s="16">
        <v>5.1564916111931198E-4</v>
      </c>
      <c r="N149" s="16">
        <v>5.7354302225443181E-2</v>
      </c>
      <c r="O149" s="16">
        <v>2.5588973927802125E-3</v>
      </c>
      <c r="P149" s="16">
        <v>1.7981625267990648E-8</v>
      </c>
      <c r="Q149" s="16">
        <v>5.4332876534869407E-5</v>
      </c>
      <c r="R149" s="16">
        <v>1.834569701896472E-5</v>
      </c>
      <c r="S149" s="16">
        <v>4.3580469635892301E-2</v>
      </c>
      <c r="T149" s="16">
        <v>1.6064659925418308E-5</v>
      </c>
      <c r="U149" s="16">
        <v>4.6144163593906133E-5</v>
      </c>
      <c r="V149" s="16">
        <v>3.7803401489430217E-4</v>
      </c>
      <c r="W149" s="17">
        <v>3.148964224600256E-21</v>
      </c>
      <c r="X149" s="2"/>
      <c r="Y149" s="2"/>
      <c r="Z149" s="2"/>
      <c r="AA149" s="2"/>
      <c r="AB149" s="2"/>
      <c r="AC149" s="2"/>
    </row>
    <row r="150" spans="1:29" x14ac:dyDescent="0.35">
      <c r="A150" s="18"/>
      <c r="B150" s="19" t="s">
        <v>23</v>
      </c>
      <c r="C150" s="20">
        <v>216</v>
      </c>
      <c r="D150" s="21">
        <v>216</v>
      </c>
      <c r="E150" s="21">
        <v>216</v>
      </c>
      <c r="F150" s="21">
        <v>216</v>
      </c>
      <c r="G150" s="21">
        <v>216</v>
      </c>
      <c r="H150" s="21">
        <v>216</v>
      </c>
      <c r="I150" s="21">
        <v>216</v>
      </c>
      <c r="J150" s="21">
        <v>216</v>
      </c>
      <c r="K150" s="21">
        <v>216</v>
      </c>
      <c r="L150" s="21">
        <v>216</v>
      </c>
      <c r="M150" s="21">
        <v>216</v>
      </c>
      <c r="N150" s="21">
        <v>216</v>
      </c>
      <c r="O150" s="21">
        <v>216</v>
      </c>
      <c r="P150" s="21">
        <v>216</v>
      </c>
      <c r="Q150" s="21">
        <v>216</v>
      </c>
      <c r="R150" s="21">
        <v>216</v>
      </c>
      <c r="S150" s="21">
        <v>216</v>
      </c>
      <c r="T150" s="21">
        <v>216</v>
      </c>
      <c r="U150" s="21">
        <v>216</v>
      </c>
      <c r="V150" s="21">
        <v>216</v>
      </c>
      <c r="W150" s="22">
        <v>216</v>
      </c>
      <c r="X150" s="2"/>
      <c r="Y150" s="2"/>
      <c r="Z150" s="2"/>
      <c r="AA150" s="2"/>
      <c r="AB150" s="2"/>
      <c r="AC150" s="2"/>
    </row>
    <row r="151" spans="1:29" ht="34.5" x14ac:dyDescent="0.35">
      <c r="A151" s="18" t="s">
        <v>54</v>
      </c>
      <c r="B151" s="14" t="s">
        <v>21</v>
      </c>
      <c r="C151" s="23" t="s">
        <v>233</v>
      </c>
      <c r="D151" s="25" t="s">
        <v>377</v>
      </c>
      <c r="E151" s="25" t="s">
        <v>136</v>
      </c>
      <c r="F151" s="25" t="s">
        <v>338</v>
      </c>
      <c r="G151" s="25" t="s">
        <v>376</v>
      </c>
      <c r="H151" s="25" t="s">
        <v>383</v>
      </c>
      <c r="I151" s="25" t="s">
        <v>201</v>
      </c>
      <c r="J151" s="25" t="s">
        <v>405</v>
      </c>
      <c r="K151" s="24">
        <v>1</v>
      </c>
      <c r="L151" s="25" t="s">
        <v>409</v>
      </c>
      <c r="M151" s="25" t="s">
        <v>254</v>
      </c>
      <c r="N151" s="25" t="s">
        <v>410</v>
      </c>
      <c r="O151" s="16">
        <v>-3.2146250335702911E-3</v>
      </c>
      <c r="P151" s="25" t="s">
        <v>407</v>
      </c>
      <c r="Q151" s="25" t="s">
        <v>411</v>
      </c>
      <c r="R151" s="16">
        <v>9.8485049605586822E-2</v>
      </c>
      <c r="S151" s="16">
        <v>7.6140390980323158E-2</v>
      </c>
      <c r="T151" s="25" t="s">
        <v>412</v>
      </c>
      <c r="U151" s="25" t="s">
        <v>353</v>
      </c>
      <c r="V151" s="25" t="s">
        <v>140</v>
      </c>
      <c r="W151" s="26" t="s">
        <v>274</v>
      </c>
      <c r="X151" s="2"/>
      <c r="Y151" s="2"/>
      <c r="Z151" s="2"/>
      <c r="AA151" s="2"/>
      <c r="AB151" s="2"/>
      <c r="AC151" s="2"/>
    </row>
    <row r="152" spans="1:29" ht="23" x14ac:dyDescent="0.35">
      <c r="A152" s="13"/>
      <c r="B152" s="14" t="s">
        <v>22</v>
      </c>
      <c r="C152" s="27">
        <v>1.2116792247608994E-3</v>
      </c>
      <c r="D152" s="16">
        <v>5.3214354021955464E-4</v>
      </c>
      <c r="E152" s="16">
        <v>1.5050192995939716E-4</v>
      </c>
      <c r="F152" s="16">
        <v>9.2769268394952744E-9</v>
      </c>
      <c r="G152" s="16">
        <v>7.1426294358015808E-3</v>
      </c>
      <c r="H152" s="16">
        <v>1.1649027022763506E-4</v>
      </c>
      <c r="I152" s="16">
        <v>4.2271694381995281E-2</v>
      </c>
      <c r="J152" s="16">
        <v>4.5711637407709091E-8</v>
      </c>
      <c r="K152" s="28"/>
      <c r="L152" s="16">
        <v>2.5203976146061318E-3</v>
      </c>
      <c r="M152" s="16">
        <v>2.2980886759401455E-7</v>
      </c>
      <c r="N152" s="16">
        <v>2.7798232104121837E-4</v>
      </c>
      <c r="O152" s="16">
        <v>0.96253623948357891</v>
      </c>
      <c r="P152" s="16">
        <v>1.8814450445817361E-5</v>
      </c>
      <c r="Q152" s="16">
        <v>5.5432240234716637E-6</v>
      </c>
      <c r="R152" s="16">
        <v>0.14915031938725359</v>
      </c>
      <c r="S152" s="16">
        <v>0.26521243648209275</v>
      </c>
      <c r="T152" s="16">
        <v>3.5199686840955714E-11</v>
      </c>
      <c r="U152" s="16">
        <v>8.235453682981288E-10</v>
      </c>
      <c r="V152" s="16">
        <v>8.8740064843920293E-5</v>
      </c>
      <c r="W152" s="17">
        <v>2.1655430223066758E-15</v>
      </c>
      <c r="X152" s="2"/>
      <c r="Y152" s="2"/>
      <c r="Z152" s="2"/>
      <c r="AA152" s="2"/>
      <c r="AB152" s="2"/>
      <c r="AC152" s="2"/>
    </row>
    <row r="153" spans="1:29" x14ac:dyDescent="0.35">
      <c r="A153" s="18"/>
      <c r="B153" s="19" t="s">
        <v>23</v>
      </c>
      <c r="C153" s="20">
        <v>216</v>
      </c>
      <c r="D153" s="21">
        <v>216</v>
      </c>
      <c r="E153" s="21">
        <v>216</v>
      </c>
      <c r="F153" s="21">
        <v>216</v>
      </c>
      <c r="G153" s="21">
        <v>216</v>
      </c>
      <c r="H153" s="21">
        <v>216</v>
      </c>
      <c r="I153" s="21">
        <v>216</v>
      </c>
      <c r="J153" s="21">
        <v>216</v>
      </c>
      <c r="K153" s="21">
        <v>216</v>
      </c>
      <c r="L153" s="21">
        <v>216</v>
      </c>
      <c r="M153" s="21">
        <v>216</v>
      </c>
      <c r="N153" s="21">
        <v>216</v>
      </c>
      <c r="O153" s="21">
        <v>216</v>
      </c>
      <c r="P153" s="21">
        <v>216</v>
      </c>
      <c r="Q153" s="21">
        <v>216</v>
      </c>
      <c r="R153" s="21">
        <v>216</v>
      </c>
      <c r="S153" s="21">
        <v>216</v>
      </c>
      <c r="T153" s="21">
        <v>216</v>
      </c>
      <c r="U153" s="21">
        <v>216</v>
      </c>
      <c r="V153" s="21">
        <v>216</v>
      </c>
      <c r="W153" s="22">
        <v>216</v>
      </c>
      <c r="X153" s="2"/>
      <c r="Y153" s="2"/>
      <c r="Z153" s="2"/>
      <c r="AA153" s="2"/>
      <c r="AB153" s="2"/>
      <c r="AC153" s="2"/>
    </row>
    <row r="154" spans="1:29" ht="34.5" x14ac:dyDescent="0.35">
      <c r="A154" s="18" t="s">
        <v>55</v>
      </c>
      <c r="B154" s="14" t="s">
        <v>21</v>
      </c>
      <c r="C154" s="23" t="s">
        <v>370</v>
      </c>
      <c r="D154" s="16">
        <v>9.4882618384995565E-2</v>
      </c>
      <c r="E154" s="25" t="s">
        <v>190</v>
      </c>
      <c r="F154" s="25" t="s">
        <v>140</v>
      </c>
      <c r="G154" s="25" t="s">
        <v>392</v>
      </c>
      <c r="H154" s="25" t="s">
        <v>322</v>
      </c>
      <c r="I154" s="25" t="s">
        <v>352</v>
      </c>
      <c r="J154" s="25" t="s">
        <v>276</v>
      </c>
      <c r="K154" s="25" t="s">
        <v>409</v>
      </c>
      <c r="L154" s="24">
        <v>1</v>
      </c>
      <c r="M154" s="25" t="s">
        <v>199</v>
      </c>
      <c r="N154" s="25" t="s">
        <v>413</v>
      </c>
      <c r="O154" s="25" t="s">
        <v>414</v>
      </c>
      <c r="P154" s="25" t="s">
        <v>269</v>
      </c>
      <c r="Q154" s="25" t="s">
        <v>415</v>
      </c>
      <c r="R154" s="25" t="s">
        <v>416</v>
      </c>
      <c r="S154" s="25" t="s">
        <v>163</v>
      </c>
      <c r="T154" s="16">
        <v>5.1296456912520161E-2</v>
      </c>
      <c r="U154" s="16">
        <v>0.10947101171543556</v>
      </c>
      <c r="V154" s="25" t="s">
        <v>431</v>
      </c>
      <c r="W154" s="26" t="s">
        <v>440</v>
      </c>
      <c r="X154" s="2"/>
      <c r="Y154" s="2"/>
      <c r="Z154" s="2"/>
      <c r="AA154" s="2"/>
      <c r="AB154" s="2"/>
      <c r="AC154" s="2"/>
    </row>
    <row r="155" spans="1:29" ht="23" x14ac:dyDescent="0.35">
      <c r="A155" s="13"/>
      <c r="B155" s="14" t="s">
        <v>22</v>
      </c>
      <c r="C155" s="27">
        <v>1.174179716549676E-5</v>
      </c>
      <c r="D155" s="16">
        <v>0.16467184403936011</v>
      </c>
      <c r="E155" s="16">
        <v>4.1745900106425024E-2</v>
      </c>
      <c r="F155" s="16">
        <v>9.0371248604053446E-5</v>
      </c>
      <c r="G155" s="16">
        <v>3.9973392350057819E-7</v>
      </c>
      <c r="H155" s="16">
        <v>8.737063131568431E-7</v>
      </c>
      <c r="I155" s="16">
        <v>2.1883510927328945E-5</v>
      </c>
      <c r="J155" s="16">
        <v>2.0679049671332544E-12</v>
      </c>
      <c r="K155" s="16">
        <v>2.5203976146061318E-3</v>
      </c>
      <c r="L155" s="28"/>
      <c r="M155" s="16">
        <v>3.3065390736799921E-3</v>
      </c>
      <c r="N155" s="16">
        <v>2.0687082542124774E-13</v>
      </c>
      <c r="O155" s="16">
        <v>2.6364048593748279E-4</v>
      </c>
      <c r="P155" s="16">
        <v>4.4076826237292901E-10</v>
      </c>
      <c r="Q155" s="16">
        <v>2.0211195340145626E-5</v>
      </c>
      <c r="R155" s="16">
        <v>1.08560465794231E-7</v>
      </c>
      <c r="S155" s="16">
        <v>7.9920969324898843E-4</v>
      </c>
      <c r="T155" s="16">
        <v>0.45324247437925502</v>
      </c>
      <c r="U155" s="16">
        <v>0.10863062753919407</v>
      </c>
      <c r="V155" s="16">
        <v>7.4639297947374137E-10</v>
      </c>
      <c r="W155" s="17">
        <v>1.6324651062501139E-18</v>
      </c>
      <c r="X155" s="2"/>
      <c r="Y155" s="2"/>
      <c r="Z155" s="2"/>
      <c r="AA155" s="2"/>
      <c r="AB155" s="2"/>
      <c r="AC155" s="2"/>
    </row>
    <row r="156" spans="1:29" x14ac:dyDescent="0.35">
      <c r="A156" s="18"/>
      <c r="B156" s="19" t="s">
        <v>23</v>
      </c>
      <c r="C156" s="20">
        <v>216</v>
      </c>
      <c r="D156" s="21">
        <v>216</v>
      </c>
      <c r="E156" s="21">
        <v>216</v>
      </c>
      <c r="F156" s="21">
        <v>216</v>
      </c>
      <c r="G156" s="21">
        <v>216</v>
      </c>
      <c r="H156" s="21">
        <v>216</v>
      </c>
      <c r="I156" s="21">
        <v>216</v>
      </c>
      <c r="J156" s="21">
        <v>216</v>
      </c>
      <c r="K156" s="21">
        <v>216</v>
      </c>
      <c r="L156" s="21">
        <v>216</v>
      </c>
      <c r="M156" s="21">
        <v>216</v>
      </c>
      <c r="N156" s="21">
        <v>216</v>
      </c>
      <c r="O156" s="21">
        <v>216</v>
      </c>
      <c r="P156" s="21">
        <v>216</v>
      </c>
      <c r="Q156" s="21">
        <v>216</v>
      </c>
      <c r="R156" s="21">
        <v>216</v>
      </c>
      <c r="S156" s="21">
        <v>216</v>
      </c>
      <c r="T156" s="21">
        <v>216</v>
      </c>
      <c r="U156" s="21">
        <v>216</v>
      </c>
      <c r="V156" s="21">
        <v>216</v>
      </c>
      <c r="W156" s="22">
        <v>216</v>
      </c>
      <c r="X156" s="2"/>
      <c r="Y156" s="2"/>
      <c r="Z156" s="2"/>
      <c r="AA156" s="2"/>
      <c r="AB156" s="2"/>
      <c r="AC156" s="2"/>
    </row>
    <row r="157" spans="1:29" ht="34.5" x14ac:dyDescent="0.35">
      <c r="A157" s="18" t="s">
        <v>56</v>
      </c>
      <c r="B157" s="14" t="s">
        <v>21</v>
      </c>
      <c r="C157" s="23" t="s">
        <v>371</v>
      </c>
      <c r="D157" s="25" t="s">
        <v>266</v>
      </c>
      <c r="E157" s="25" t="s">
        <v>149</v>
      </c>
      <c r="F157" s="25" t="s">
        <v>387</v>
      </c>
      <c r="G157" s="16">
        <v>0.10436400421151859</v>
      </c>
      <c r="H157" s="25" t="s">
        <v>398</v>
      </c>
      <c r="I157" s="25" t="s">
        <v>402</v>
      </c>
      <c r="J157" s="25" t="s">
        <v>377</v>
      </c>
      <c r="K157" s="25" t="s">
        <v>254</v>
      </c>
      <c r="L157" s="25" t="s">
        <v>199</v>
      </c>
      <c r="M157" s="24">
        <v>1</v>
      </c>
      <c r="N157" s="25" t="s">
        <v>328</v>
      </c>
      <c r="O157" s="16">
        <v>0.11385121355580333</v>
      </c>
      <c r="P157" s="25" t="s">
        <v>193</v>
      </c>
      <c r="Q157" s="25" t="s">
        <v>338</v>
      </c>
      <c r="R157" s="25" t="s">
        <v>393</v>
      </c>
      <c r="S157" s="25" t="s">
        <v>417</v>
      </c>
      <c r="T157" s="25" t="s">
        <v>291</v>
      </c>
      <c r="U157" s="25" t="s">
        <v>354</v>
      </c>
      <c r="V157" s="25" t="s">
        <v>432</v>
      </c>
      <c r="W157" s="26" t="s">
        <v>441</v>
      </c>
      <c r="X157" s="2"/>
      <c r="Y157" s="2"/>
      <c r="Z157" s="2"/>
      <c r="AA157" s="2"/>
      <c r="AB157" s="2"/>
      <c r="AC157" s="2"/>
    </row>
    <row r="158" spans="1:29" ht="23" x14ac:dyDescent="0.35">
      <c r="A158" s="13"/>
      <c r="B158" s="14" t="s">
        <v>22</v>
      </c>
      <c r="C158" s="27">
        <v>9.3196952051904285E-4</v>
      </c>
      <c r="D158" s="16">
        <v>5.2840739565918003E-11</v>
      </c>
      <c r="E158" s="16">
        <v>4.872460916062744E-7</v>
      </c>
      <c r="F158" s="16">
        <v>2.8981655431747153E-7</v>
      </c>
      <c r="G158" s="16">
        <v>0.12623719972230191</v>
      </c>
      <c r="H158" s="16">
        <v>2.4715571892827104E-5</v>
      </c>
      <c r="I158" s="16">
        <v>1.5155066973755154E-12</v>
      </c>
      <c r="J158" s="16">
        <v>5.1564916111931198E-4</v>
      </c>
      <c r="K158" s="16">
        <v>2.2980886759401455E-7</v>
      </c>
      <c r="L158" s="16">
        <v>3.3065390736799921E-3</v>
      </c>
      <c r="M158" s="28"/>
      <c r="N158" s="16">
        <v>1.6084852159311005E-5</v>
      </c>
      <c r="O158" s="16">
        <v>9.5120107873989737E-2</v>
      </c>
      <c r="P158" s="16">
        <v>6.7837169140287933E-6</v>
      </c>
      <c r="Q158" s="16">
        <v>9.3445701734526861E-9</v>
      </c>
      <c r="R158" s="16">
        <v>9.8887812493939574E-4</v>
      </c>
      <c r="S158" s="16">
        <v>7.7724305783073711E-5</v>
      </c>
      <c r="T158" s="16">
        <v>6.2068835488644529E-6</v>
      </c>
      <c r="U158" s="16">
        <v>1.8174693176810128E-12</v>
      </c>
      <c r="V158" s="16">
        <v>6.7235167506555864E-12</v>
      </c>
      <c r="W158" s="17">
        <v>1.2602116732608317E-22</v>
      </c>
      <c r="X158" s="2"/>
      <c r="Y158" s="2"/>
      <c r="Z158" s="2"/>
      <c r="AA158" s="2"/>
      <c r="AB158" s="2"/>
      <c r="AC158" s="2"/>
    </row>
    <row r="159" spans="1:29" x14ac:dyDescent="0.35">
      <c r="A159" s="18"/>
      <c r="B159" s="19" t="s">
        <v>23</v>
      </c>
      <c r="C159" s="20">
        <v>216</v>
      </c>
      <c r="D159" s="21">
        <v>216</v>
      </c>
      <c r="E159" s="21">
        <v>216</v>
      </c>
      <c r="F159" s="21">
        <v>216</v>
      </c>
      <c r="G159" s="21">
        <v>216</v>
      </c>
      <c r="H159" s="21">
        <v>216</v>
      </c>
      <c r="I159" s="21">
        <v>216</v>
      </c>
      <c r="J159" s="21">
        <v>216</v>
      </c>
      <c r="K159" s="21">
        <v>216</v>
      </c>
      <c r="L159" s="21">
        <v>216</v>
      </c>
      <c r="M159" s="21">
        <v>216</v>
      </c>
      <c r="N159" s="21">
        <v>216</v>
      </c>
      <c r="O159" s="21">
        <v>216</v>
      </c>
      <c r="P159" s="21">
        <v>216</v>
      </c>
      <c r="Q159" s="21">
        <v>216</v>
      </c>
      <c r="R159" s="21">
        <v>216</v>
      </c>
      <c r="S159" s="21">
        <v>216</v>
      </c>
      <c r="T159" s="21">
        <v>216</v>
      </c>
      <c r="U159" s="21">
        <v>216</v>
      </c>
      <c r="V159" s="21">
        <v>216</v>
      </c>
      <c r="W159" s="22">
        <v>216</v>
      </c>
      <c r="X159" s="2"/>
      <c r="Y159" s="2"/>
      <c r="Z159" s="2"/>
      <c r="AA159" s="2"/>
      <c r="AB159" s="2"/>
      <c r="AC159" s="2"/>
    </row>
    <row r="160" spans="1:29" ht="34.5" x14ac:dyDescent="0.35">
      <c r="A160" s="18" t="s">
        <v>57</v>
      </c>
      <c r="B160" s="14" t="s">
        <v>21</v>
      </c>
      <c r="C160" s="23" t="s">
        <v>205</v>
      </c>
      <c r="D160" s="16">
        <v>9.240541558987711E-2</v>
      </c>
      <c r="E160" s="25" t="s">
        <v>147</v>
      </c>
      <c r="F160" s="25" t="s">
        <v>285</v>
      </c>
      <c r="G160" s="25" t="s">
        <v>393</v>
      </c>
      <c r="H160" s="25" t="s">
        <v>150</v>
      </c>
      <c r="I160" s="25" t="s">
        <v>303</v>
      </c>
      <c r="J160" s="16">
        <v>0.12952580269826072</v>
      </c>
      <c r="K160" s="25" t="s">
        <v>410</v>
      </c>
      <c r="L160" s="25" t="s">
        <v>413</v>
      </c>
      <c r="M160" s="25" t="s">
        <v>328</v>
      </c>
      <c r="N160" s="24">
        <v>1</v>
      </c>
      <c r="O160" s="25" t="s">
        <v>160</v>
      </c>
      <c r="P160" s="25" t="s">
        <v>418</v>
      </c>
      <c r="Q160" s="25" t="s">
        <v>419</v>
      </c>
      <c r="R160" s="25" t="s">
        <v>420</v>
      </c>
      <c r="S160" s="25" t="s">
        <v>421</v>
      </c>
      <c r="T160" s="25" t="s">
        <v>136</v>
      </c>
      <c r="U160" s="25" t="s">
        <v>152</v>
      </c>
      <c r="V160" s="25" t="s">
        <v>303</v>
      </c>
      <c r="W160" s="26" t="s">
        <v>442</v>
      </c>
      <c r="X160" s="2"/>
      <c r="Y160" s="2"/>
      <c r="Z160" s="2"/>
      <c r="AA160" s="2"/>
      <c r="AB160" s="2"/>
      <c r="AC160" s="2"/>
    </row>
    <row r="161" spans="1:29" ht="23" x14ac:dyDescent="0.35">
      <c r="A161" s="13"/>
      <c r="B161" s="14" t="s">
        <v>22</v>
      </c>
      <c r="C161" s="27">
        <v>3.3451933251361693E-4</v>
      </c>
      <c r="D161" s="16">
        <v>0.17602584658490639</v>
      </c>
      <c r="E161" s="16">
        <v>2.7974742758685801E-8</v>
      </c>
      <c r="F161" s="16">
        <v>2.8533163888499231E-15</v>
      </c>
      <c r="G161" s="16">
        <v>9.5886062122212882E-4</v>
      </c>
      <c r="H161" s="16">
        <v>1.7213452754398007E-3</v>
      </c>
      <c r="I161" s="16">
        <v>3.7420300969700812E-6</v>
      </c>
      <c r="J161" s="16">
        <v>5.7354302225443181E-2</v>
      </c>
      <c r="K161" s="16">
        <v>2.7798232104121837E-4</v>
      </c>
      <c r="L161" s="16">
        <v>2.0687082542124774E-13</v>
      </c>
      <c r="M161" s="16">
        <v>1.6084852159311005E-5</v>
      </c>
      <c r="N161" s="28"/>
      <c r="O161" s="16">
        <v>1.9268343034707498E-4</v>
      </c>
      <c r="P161" s="16">
        <v>1.7641652080788911E-32</v>
      </c>
      <c r="Q161" s="16">
        <v>1.0096990162910391E-12</v>
      </c>
      <c r="R161" s="16">
        <v>8.5154721049140493E-12</v>
      </c>
      <c r="S161" s="16">
        <v>2.975663622988415E-7</v>
      </c>
      <c r="T161" s="16">
        <v>1.4868279273549649E-4</v>
      </c>
      <c r="U161" s="16">
        <v>4.6441719751964034E-5</v>
      </c>
      <c r="V161" s="16">
        <v>3.6326493683420447E-6</v>
      </c>
      <c r="W161" s="17">
        <v>5.9501764868394432E-25</v>
      </c>
      <c r="X161" s="2"/>
      <c r="Y161" s="2"/>
      <c r="Z161" s="2"/>
      <c r="AA161" s="2"/>
      <c r="AB161" s="2"/>
      <c r="AC161" s="2"/>
    </row>
    <row r="162" spans="1:29" x14ac:dyDescent="0.35">
      <c r="A162" s="18"/>
      <c r="B162" s="19" t="s">
        <v>23</v>
      </c>
      <c r="C162" s="20">
        <v>216</v>
      </c>
      <c r="D162" s="21">
        <v>216</v>
      </c>
      <c r="E162" s="21">
        <v>216</v>
      </c>
      <c r="F162" s="21">
        <v>216</v>
      </c>
      <c r="G162" s="21">
        <v>216</v>
      </c>
      <c r="H162" s="21">
        <v>216</v>
      </c>
      <c r="I162" s="21">
        <v>216</v>
      </c>
      <c r="J162" s="21">
        <v>216</v>
      </c>
      <c r="K162" s="21">
        <v>216</v>
      </c>
      <c r="L162" s="21">
        <v>216</v>
      </c>
      <c r="M162" s="21">
        <v>216</v>
      </c>
      <c r="N162" s="21">
        <v>216</v>
      </c>
      <c r="O162" s="21">
        <v>216</v>
      </c>
      <c r="P162" s="21">
        <v>216</v>
      </c>
      <c r="Q162" s="21">
        <v>216</v>
      </c>
      <c r="R162" s="21">
        <v>216</v>
      </c>
      <c r="S162" s="21">
        <v>216</v>
      </c>
      <c r="T162" s="21">
        <v>216</v>
      </c>
      <c r="U162" s="21">
        <v>216</v>
      </c>
      <c r="V162" s="21">
        <v>216</v>
      </c>
      <c r="W162" s="22">
        <v>216</v>
      </c>
      <c r="X162" s="2"/>
      <c r="Y162" s="2"/>
      <c r="Z162" s="2"/>
      <c r="AA162" s="2"/>
      <c r="AB162" s="2"/>
      <c r="AC162" s="2"/>
    </row>
    <row r="163" spans="1:29" ht="34.5" x14ac:dyDescent="0.35">
      <c r="A163" s="18" t="s">
        <v>58</v>
      </c>
      <c r="B163" s="14" t="s">
        <v>21</v>
      </c>
      <c r="C163" s="23" t="s">
        <v>271</v>
      </c>
      <c r="D163" s="25" t="s">
        <v>378</v>
      </c>
      <c r="E163" s="25" t="s">
        <v>383</v>
      </c>
      <c r="F163" s="16">
        <v>0.1253533336960648</v>
      </c>
      <c r="G163" s="25" t="s">
        <v>394</v>
      </c>
      <c r="H163" s="25" t="s">
        <v>399</v>
      </c>
      <c r="I163" s="25" t="s">
        <v>403</v>
      </c>
      <c r="J163" s="25" t="s">
        <v>331</v>
      </c>
      <c r="K163" s="16">
        <v>-3.2146250335702911E-3</v>
      </c>
      <c r="L163" s="25" t="s">
        <v>414</v>
      </c>
      <c r="M163" s="16">
        <v>0.11385121355580333</v>
      </c>
      <c r="N163" s="25" t="s">
        <v>160</v>
      </c>
      <c r="O163" s="24">
        <v>1</v>
      </c>
      <c r="P163" s="25" t="s">
        <v>286</v>
      </c>
      <c r="Q163" s="25" t="s">
        <v>404</v>
      </c>
      <c r="R163" s="25" t="s">
        <v>422</v>
      </c>
      <c r="S163" s="25" t="s">
        <v>398</v>
      </c>
      <c r="T163" s="16">
        <v>9.4822151255712389E-2</v>
      </c>
      <c r="U163" s="16">
        <v>8.3516746513938686E-2</v>
      </c>
      <c r="V163" s="25" t="s">
        <v>172</v>
      </c>
      <c r="W163" s="26" t="s">
        <v>216</v>
      </c>
      <c r="X163" s="2"/>
      <c r="Y163" s="2"/>
      <c r="Z163" s="2"/>
      <c r="AA163" s="2"/>
      <c r="AB163" s="2"/>
      <c r="AC163" s="2"/>
    </row>
    <row r="164" spans="1:29" ht="23" x14ac:dyDescent="0.35">
      <c r="A164" s="13"/>
      <c r="B164" s="14" t="s">
        <v>22</v>
      </c>
      <c r="C164" s="27">
        <v>7.2043671271366323E-4</v>
      </c>
      <c r="D164" s="16">
        <v>5.7241668044197112E-5</v>
      </c>
      <c r="E164" s="16">
        <v>1.1549772677761405E-4</v>
      </c>
      <c r="F164" s="16">
        <v>6.5932807659874956E-2</v>
      </c>
      <c r="G164" s="16">
        <v>1.3639925843243221E-2</v>
      </c>
      <c r="H164" s="16">
        <v>5.1016737083908571E-5</v>
      </c>
      <c r="I164" s="16">
        <v>3.8700270752074183E-2</v>
      </c>
      <c r="J164" s="16">
        <v>2.5588973927802125E-3</v>
      </c>
      <c r="K164" s="16">
        <v>0.96253623948357891</v>
      </c>
      <c r="L164" s="16">
        <v>2.6364048593748279E-4</v>
      </c>
      <c r="M164" s="16">
        <v>9.5120107873989737E-2</v>
      </c>
      <c r="N164" s="16">
        <v>1.9268343034707498E-4</v>
      </c>
      <c r="O164" s="28"/>
      <c r="P164" s="16">
        <v>1.2606845107754836E-6</v>
      </c>
      <c r="Q164" s="16">
        <v>1.445467348276353E-2</v>
      </c>
      <c r="R164" s="16">
        <v>3.836687738015785E-5</v>
      </c>
      <c r="S164" s="16">
        <v>2.3477567531684326E-5</v>
      </c>
      <c r="T164" s="16">
        <v>0.16494230641658972</v>
      </c>
      <c r="U164" s="16">
        <v>0.22153557459822729</v>
      </c>
      <c r="V164" s="16">
        <v>9.5376091806717127E-3</v>
      </c>
      <c r="W164" s="17">
        <v>9.1299326165803451E-11</v>
      </c>
      <c r="X164" s="2"/>
      <c r="Y164" s="2"/>
      <c r="Z164" s="2"/>
      <c r="AA164" s="2"/>
      <c r="AB164" s="2"/>
      <c r="AC164" s="2"/>
    </row>
    <row r="165" spans="1:29" x14ac:dyDescent="0.35">
      <c r="A165" s="18"/>
      <c r="B165" s="19" t="s">
        <v>23</v>
      </c>
      <c r="C165" s="20">
        <v>216</v>
      </c>
      <c r="D165" s="21">
        <v>216</v>
      </c>
      <c r="E165" s="21">
        <v>216</v>
      </c>
      <c r="F165" s="21">
        <v>216</v>
      </c>
      <c r="G165" s="21">
        <v>216</v>
      </c>
      <c r="H165" s="21">
        <v>216</v>
      </c>
      <c r="I165" s="21">
        <v>216</v>
      </c>
      <c r="J165" s="21">
        <v>216</v>
      </c>
      <c r="K165" s="21">
        <v>216</v>
      </c>
      <c r="L165" s="21">
        <v>216</v>
      </c>
      <c r="M165" s="21">
        <v>216</v>
      </c>
      <c r="N165" s="21">
        <v>216</v>
      </c>
      <c r="O165" s="21">
        <v>216</v>
      </c>
      <c r="P165" s="21">
        <v>216</v>
      </c>
      <c r="Q165" s="21">
        <v>216</v>
      </c>
      <c r="R165" s="21">
        <v>216</v>
      </c>
      <c r="S165" s="21">
        <v>216</v>
      </c>
      <c r="T165" s="21">
        <v>216</v>
      </c>
      <c r="U165" s="21">
        <v>216</v>
      </c>
      <c r="V165" s="21">
        <v>216</v>
      </c>
      <c r="W165" s="22">
        <v>216</v>
      </c>
      <c r="X165" s="2"/>
      <c r="Y165" s="2"/>
      <c r="Z165" s="2"/>
      <c r="AA165" s="2"/>
      <c r="AB165" s="2"/>
      <c r="AC165" s="2"/>
    </row>
    <row r="166" spans="1:29" ht="34.5" x14ac:dyDescent="0.35">
      <c r="A166" s="18" t="s">
        <v>59</v>
      </c>
      <c r="B166" s="14" t="s">
        <v>21</v>
      </c>
      <c r="C166" s="23" t="s">
        <v>372</v>
      </c>
      <c r="D166" s="25" t="s">
        <v>300</v>
      </c>
      <c r="E166" s="25" t="s">
        <v>226</v>
      </c>
      <c r="F166" s="25" t="s">
        <v>223</v>
      </c>
      <c r="G166" s="25" t="s">
        <v>395</v>
      </c>
      <c r="H166" s="25" t="s">
        <v>136</v>
      </c>
      <c r="I166" s="25" t="s">
        <v>316</v>
      </c>
      <c r="J166" s="25" t="s">
        <v>406</v>
      </c>
      <c r="K166" s="25" t="s">
        <v>407</v>
      </c>
      <c r="L166" s="25" t="s">
        <v>269</v>
      </c>
      <c r="M166" s="25" t="s">
        <v>193</v>
      </c>
      <c r="N166" s="25" t="s">
        <v>418</v>
      </c>
      <c r="O166" s="25" t="s">
        <v>286</v>
      </c>
      <c r="P166" s="24">
        <v>1</v>
      </c>
      <c r="Q166" s="25" t="s">
        <v>387</v>
      </c>
      <c r="R166" s="25" t="s">
        <v>423</v>
      </c>
      <c r="S166" s="25" t="s">
        <v>308</v>
      </c>
      <c r="T166" s="25" t="s">
        <v>221</v>
      </c>
      <c r="U166" s="25" t="s">
        <v>372</v>
      </c>
      <c r="V166" s="25" t="s">
        <v>224</v>
      </c>
      <c r="W166" s="26" t="s">
        <v>443</v>
      </c>
      <c r="X166" s="2"/>
      <c r="Y166" s="2"/>
      <c r="Z166" s="2"/>
      <c r="AA166" s="2"/>
      <c r="AB166" s="2"/>
      <c r="AC166" s="2"/>
    </row>
    <row r="167" spans="1:29" ht="23" x14ac:dyDescent="0.35">
      <c r="A167" s="13"/>
      <c r="B167" s="14" t="s">
        <v>22</v>
      </c>
      <c r="C167" s="27">
        <v>1.2449162020121097E-8</v>
      </c>
      <c r="D167" s="16">
        <v>1.3427832414683811E-3</v>
      </c>
      <c r="E167" s="16">
        <v>2.3045367548410433E-9</v>
      </c>
      <c r="F167" s="16">
        <v>7.3401716357280098E-11</v>
      </c>
      <c r="G167" s="16">
        <v>2.7254508107837645E-5</v>
      </c>
      <c r="H167" s="16">
        <v>1.5487783173396061E-4</v>
      </c>
      <c r="I167" s="16">
        <v>1.4591754637626647E-5</v>
      </c>
      <c r="J167" s="16">
        <v>1.7981625267990648E-8</v>
      </c>
      <c r="K167" s="16">
        <v>1.8814450445817361E-5</v>
      </c>
      <c r="L167" s="16">
        <v>4.4076826237292901E-10</v>
      </c>
      <c r="M167" s="16">
        <v>6.7837169140287933E-6</v>
      </c>
      <c r="N167" s="16">
        <v>1.7641652080788911E-32</v>
      </c>
      <c r="O167" s="16">
        <v>1.2606845107754836E-6</v>
      </c>
      <c r="P167" s="28"/>
      <c r="Q167" s="16">
        <v>2.8582317944454115E-7</v>
      </c>
      <c r="R167" s="16">
        <v>1.0370047658816072E-30</v>
      </c>
      <c r="S167" s="16">
        <v>3.0390473323467602E-4</v>
      </c>
      <c r="T167" s="16">
        <v>5.4532504220049364E-7</v>
      </c>
      <c r="U167" s="16">
        <v>1.2792422064552977E-8</v>
      </c>
      <c r="V167" s="16">
        <v>8.3432769131284778E-7</v>
      </c>
      <c r="W167" s="17">
        <v>1.3855733837077052E-33</v>
      </c>
      <c r="X167" s="2"/>
      <c r="Y167" s="2"/>
      <c r="Z167" s="2"/>
      <c r="AA167" s="2"/>
      <c r="AB167" s="2"/>
      <c r="AC167" s="2"/>
    </row>
    <row r="168" spans="1:29" x14ac:dyDescent="0.35">
      <c r="A168" s="18"/>
      <c r="B168" s="19" t="s">
        <v>23</v>
      </c>
      <c r="C168" s="20">
        <v>216</v>
      </c>
      <c r="D168" s="21">
        <v>216</v>
      </c>
      <c r="E168" s="21">
        <v>216</v>
      </c>
      <c r="F168" s="21">
        <v>216</v>
      </c>
      <c r="G168" s="21">
        <v>216</v>
      </c>
      <c r="H168" s="21">
        <v>216</v>
      </c>
      <c r="I168" s="21">
        <v>216</v>
      </c>
      <c r="J168" s="21">
        <v>216</v>
      </c>
      <c r="K168" s="21">
        <v>216</v>
      </c>
      <c r="L168" s="21">
        <v>216</v>
      </c>
      <c r="M168" s="21">
        <v>216</v>
      </c>
      <c r="N168" s="21">
        <v>216</v>
      </c>
      <c r="O168" s="21">
        <v>216</v>
      </c>
      <c r="P168" s="21">
        <v>216</v>
      </c>
      <c r="Q168" s="21">
        <v>216</v>
      </c>
      <c r="R168" s="21">
        <v>216</v>
      </c>
      <c r="S168" s="21">
        <v>216</v>
      </c>
      <c r="T168" s="21">
        <v>216</v>
      </c>
      <c r="U168" s="21">
        <v>216</v>
      </c>
      <c r="V168" s="21">
        <v>216</v>
      </c>
      <c r="W168" s="22">
        <v>216</v>
      </c>
      <c r="X168" s="2"/>
      <c r="Y168" s="2"/>
      <c r="Z168" s="2"/>
      <c r="AA168" s="2"/>
      <c r="AB168" s="2"/>
      <c r="AC168" s="2"/>
    </row>
    <row r="169" spans="1:29" ht="34.5" x14ac:dyDescent="0.35">
      <c r="A169" s="18" t="s">
        <v>60</v>
      </c>
      <c r="B169" s="14" t="s">
        <v>21</v>
      </c>
      <c r="C169" s="23" t="s">
        <v>373</v>
      </c>
      <c r="D169" s="25" t="s">
        <v>379</v>
      </c>
      <c r="E169" s="25" t="s">
        <v>224</v>
      </c>
      <c r="F169" s="25" t="s">
        <v>388</v>
      </c>
      <c r="G169" s="25" t="s">
        <v>332</v>
      </c>
      <c r="H169" s="25" t="s">
        <v>400</v>
      </c>
      <c r="I169" s="25" t="s">
        <v>318</v>
      </c>
      <c r="J169" s="25" t="s">
        <v>256</v>
      </c>
      <c r="K169" s="25" t="s">
        <v>411</v>
      </c>
      <c r="L169" s="25" t="s">
        <v>415</v>
      </c>
      <c r="M169" s="25" t="s">
        <v>338</v>
      </c>
      <c r="N169" s="25" t="s">
        <v>419</v>
      </c>
      <c r="O169" s="25" t="s">
        <v>404</v>
      </c>
      <c r="P169" s="25" t="s">
        <v>387</v>
      </c>
      <c r="Q169" s="24">
        <v>1</v>
      </c>
      <c r="R169" s="25" t="s">
        <v>294</v>
      </c>
      <c r="S169" s="25" t="s">
        <v>422</v>
      </c>
      <c r="T169" s="25" t="s">
        <v>424</v>
      </c>
      <c r="U169" s="25" t="s">
        <v>426</v>
      </c>
      <c r="V169" s="25" t="s">
        <v>337</v>
      </c>
      <c r="W169" s="26" t="s">
        <v>444</v>
      </c>
      <c r="X169" s="2"/>
      <c r="Y169" s="2"/>
      <c r="Z169" s="2"/>
      <c r="AA169" s="2"/>
      <c r="AB169" s="2"/>
      <c r="AC169" s="2"/>
    </row>
    <row r="170" spans="1:29" ht="23" x14ac:dyDescent="0.35">
      <c r="A170" s="13"/>
      <c r="B170" s="14" t="s">
        <v>22</v>
      </c>
      <c r="C170" s="27">
        <v>1.1618456506967913E-12</v>
      </c>
      <c r="D170" s="16">
        <v>3.8964027919974646E-4</v>
      </c>
      <c r="E170" s="16">
        <v>8.2914938116902067E-7</v>
      </c>
      <c r="F170" s="16">
        <v>3.3214551136794733E-46</v>
      </c>
      <c r="G170" s="16">
        <v>1.5051758178036815E-2</v>
      </c>
      <c r="H170" s="16">
        <v>1.654629385017457E-4</v>
      </c>
      <c r="I170" s="16">
        <v>2.273224146413999E-9</v>
      </c>
      <c r="J170" s="16">
        <v>5.4332876534869407E-5</v>
      </c>
      <c r="K170" s="16">
        <v>5.5432240234716637E-6</v>
      </c>
      <c r="L170" s="16">
        <v>2.0211195340145626E-5</v>
      </c>
      <c r="M170" s="16">
        <v>9.3445701734526861E-9</v>
      </c>
      <c r="N170" s="16">
        <v>1.0096990162910391E-12</v>
      </c>
      <c r="O170" s="16">
        <v>1.445467348276353E-2</v>
      </c>
      <c r="P170" s="16">
        <v>2.8582317944454115E-7</v>
      </c>
      <c r="Q170" s="28"/>
      <c r="R170" s="16">
        <v>1.1147771072539308E-5</v>
      </c>
      <c r="S170" s="16">
        <v>4.0249004952930542E-5</v>
      </c>
      <c r="T170" s="16">
        <v>2.1951330858766468E-4</v>
      </c>
      <c r="U170" s="16">
        <v>2.0747597382892464E-3</v>
      </c>
      <c r="V170" s="16">
        <v>9.0282218186629512E-10</v>
      </c>
      <c r="W170" s="17">
        <v>1.578195025910622E-27</v>
      </c>
      <c r="X170" s="2"/>
      <c r="Y170" s="2"/>
      <c r="Z170" s="2"/>
      <c r="AA170" s="2"/>
      <c r="AB170" s="2"/>
      <c r="AC170" s="2"/>
    </row>
    <row r="171" spans="1:29" x14ac:dyDescent="0.35">
      <c r="A171" s="18"/>
      <c r="B171" s="19" t="s">
        <v>23</v>
      </c>
      <c r="C171" s="20">
        <v>216</v>
      </c>
      <c r="D171" s="21">
        <v>216</v>
      </c>
      <c r="E171" s="21">
        <v>216</v>
      </c>
      <c r="F171" s="21">
        <v>216</v>
      </c>
      <c r="G171" s="21">
        <v>216</v>
      </c>
      <c r="H171" s="21">
        <v>216</v>
      </c>
      <c r="I171" s="21">
        <v>216</v>
      </c>
      <c r="J171" s="21">
        <v>216</v>
      </c>
      <c r="K171" s="21">
        <v>216</v>
      </c>
      <c r="L171" s="21">
        <v>216</v>
      </c>
      <c r="M171" s="21">
        <v>216</v>
      </c>
      <c r="N171" s="21">
        <v>216</v>
      </c>
      <c r="O171" s="21">
        <v>216</v>
      </c>
      <c r="P171" s="21">
        <v>216</v>
      </c>
      <c r="Q171" s="21">
        <v>216</v>
      </c>
      <c r="R171" s="21">
        <v>216</v>
      </c>
      <c r="S171" s="21">
        <v>216</v>
      </c>
      <c r="T171" s="21">
        <v>216</v>
      </c>
      <c r="U171" s="21">
        <v>216</v>
      </c>
      <c r="V171" s="21">
        <v>216</v>
      </c>
      <c r="W171" s="22">
        <v>216</v>
      </c>
      <c r="X171" s="2"/>
      <c r="Y171" s="2"/>
      <c r="Z171" s="2"/>
      <c r="AA171" s="2"/>
      <c r="AB171" s="2"/>
      <c r="AC171" s="2"/>
    </row>
    <row r="172" spans="1:29" ht="34.5" x14ac:dyDescent="0.35">
      <c r="A172" s="18" t="s">
        <v>61</v>
      </c>
      <c r="B172" s="14" t="s">
        <v>21</v>
      </c>
      <c r="C172" s="23" t="s">
        <v>372</v>
      </c>
      <c r="D172" s="16">
        <v>0.1267270943910975</v>
      </c>
      <c r="E172" s="25" t="s">
        <v>384</v>
      </c>
      <c r="F172" s="25" t="s">
        <v>182</v>
      </c>
      <c r="G172" s="25" t="s">
        <v>291</v>
      </c>
      <c r="H172" s="25" t="s">
        <v>389</v>
      </c>
      <c r="I172" s="25" t="s">
        <v>378</v>
      </c>
      <c r="J172" s="25" t="s">
        <v>407</v>
      </c>
      <c r="K172" s="16">
        <v>9.8485049605586822E-2</v>
      </c>
      <c r="L172" s="25" t="s">
        <v>416</v>
      </c>
      <c r="M172" s="25" t="s">
        <v>393</v>
      </c>
      <c r="N172" s="25" t="s">
        <v>420</v>
      </c>
      <c r="O172" s="25" t="s">
        <v>422</v>
      </c>
      <c r="P172" s="25" t="s">
        <v>423</v>
      </c>
      <c r="Q172" s="25" t="s">
        <v>294</v>
      </c>
      <c r="R172" s="24">
        <v>1</v>
      </c>
      <c r="S172" s="25" t="s">
        <v>414</v>
      </c>
      <c r="T172" s="25" t="s">
        <v>425</v>
      </c>
      <c r="U172" s="16">
        <v>0.12308971598286324</v>
      </c>
      <c r="V172" s="25" t="s">
        <v>433</v>
      </c>
      <c r="W172" s="26" t="s">
        <v>445</v>
      </c>
      <c r="X172" s="2"/>
      <c r="Y172" s="2"/>
      <c r="Z172" s="2"/>
      <c r="AA172" s="2"/>
      <c r="AB172" s="2"/>
      <c r="AC172" s="2"/>
    </row>
    <row r="173" spans="1:29" ht="23" x14ac:dyDescent="0.35">
      <c r="A173" s="13"/>
      <c r="B173" s="14" t="s">
        <v>22</v>
      </c>
      <c r="C173" s="27">
        <v>1.3153869437153095E-8</v>
      </c>
      <c r="D173" s="16">
        <v>6.2999379906374567E-2</v>
      </c>
      <c r="E173" s="16">
        <v>6.8124773243903785E-14</v>
      </c>
      <c r="F173" s="16">
        <v>1.2383378808838468E-4</v>
      </c>
      <c r="G173" s="16">
        <v>6.0007849398586948E-6</v>
      </c>
      <c r="H173" s="16">
        <v>1.6648505402442899E-4</v>
      </c>
      <c r="I173" s="16">
        <v>5.9002873835639964E-5</v>
      </c>
      <c r="J173" s="16">
        <v>1.834569701896472E-5</v>
      </c>
      <c r="K173" s="16">
        <v>0.14915031938725359</v>
      </c>
      <c r="L173" s="16">
        <v>1.08560465794231E-7</v>
      </c>
      <c r="M173" s="16">
        <v>9.8887812493939574E-4</v>
      </c>
      <c r="N173" s="16">
        <v>8.5154721049140493E-12</v>
      </c>
      <c r="O173" s="16">
        <v>3.836687738015785E-5</v>
      </c>
      <c r="P173" s="16">
        <v>1.0370047658816072E-30</v>
      </c>
      <c r="Q173" s="16">
        <v>1.1147771072539308E-5</v>
      </c>
      <c r="R173" s="28"/>
      <c r="S173" s="16">
        <v>2.6899055107622858E-4</v>
      </c>
      <c r="T173" s="16">
        <v>2.5135873276669201E-2</v>
      </c>
      <c r="U173" s="16">
        <v>7.1009510179644561E-2</v>
      </c>
      <c r="V173" s="16">
        <v>1.003842708335344E-7</v>
      </c>
      <c r="W173" s="17">
        <v>1.026277074278225E-20</v>
      </c>
      <c r="X173" s="2"/>
      <c r="Y173" s="2"/>
      <c r="Z173" s="2"/>
      <c r="AA173" s="2"/>
      <c r="AB173" s="2"/>
      <c r="AC173" s="2"/>
    </row>
    <row r="174" spans="1:29" x14ac:dyDescent="0.35">
      <c r="A174" s="18"/>
      <c r="B174" s="19" t="s">
        <v>23</v>
      </c>
      <c r="C174" s="20">
        <v>216</v>
      </c>
      <c r="D174" s="21">
        <v>216</v>
      </c>
      <c r="E174" s="21">
        <v>216</v>
      </c>
      <c r="F174" s="21">
        <v>216</v>
      </c>
      <c r="G174" s="21">
        <v>216</v>
      </c>
      <c r="H174" s="21">
        <v>216</v>
      </c>
      <c r="I174" s="21">
        <v>216</v>
      </c>
      <c r="J174" s="21">
        <v>216</v>
      </c>
      <c r="K174" s="21">
        <v>216</v>
      </c>
      <c r="L174" s="21">
        <v>216</v>
      </c>
      <c r="M174" s="21">
        <v>216</v>
      </c>
      <c r="N174" s="21">
        <v>216</v>
      </c>
      <c r="O174" s="21">
        <v>216</v>
      </c>
      <c r="P174" s="21">
        <v>216</v>
      </c>
      <c r="Q174" s="21">
        <v>216</v>
      </c>
      <c r="R174" s="21">
        <v>216</v>
      </c>
      <c r="S174" s="21">
        <v>216</v>
      </c>
      <c r="T174" s="21">
        <v>216</v>
      </c>
      <c r="U174" s="21">
        <v>216</v>
      </c>
      <c r="V174" s="21">
        <v>216</v>
      </c>
      <c r="W174" s="22">
        <v>216</v>
      </c>
      <c r="X174" s="2"/>
      <c r="Y174" s="2"/>
      <c r="Z174" s="2"/>
      <c r="AA174" s="2"/>
      <c r="AB174" s="2"/>
      <c r="AC174" s="2"/>
    </row>
    <row r="175" spans="1:29" ht="34.5" x14ac:dyDescent="0.35">
      <c r="A175" s="18" t="s">
        <v>62</v>
      </c>
      <c r="B175" s="14" t="s">
        <v>21</v>
      </c>
      <c r="C175" s="23" t="s">
        <v>250</v>
      </c>
      <c r="D175" s="25" t="s">
        <v>380</v>
      </c>
      <c r="E175" s="25" t="s">
        <v>355</v>
      </c>
      <c r="F175" s="25" t="s">
        <v>389</v>
      </c>
      <c r="G175" s="16">
        <v>7.2553554918814128E-2</v>
      </c>
      <c r="H175" s="25" t="s">
        <v>381</v>
      </c>
      <c r="I175" s="25" t="s">
        <v>404</v>
      </c>
      <c r="J175" s="25" t="s">
        <v>408</v>
      </c>
      <c r="K175" s="16">
        <v>7.6140390980323158E-2</v>
      </c>
      <c r="L175" s="25" t="s">
        <v>163</v>
      </c>
      <c r="M175" s="25" t="s">
        <v>417</v>
      </c>
      <c r="N175" s="25" t="s">
        <v>421</v>
      </c>
      <c r="O175" s="25" t="s">
        <v>398</v>
      </c>
      <c r="P175" s="25" t="s">
        <v>308</v>
      </c>
      <c r="Q175" s="25" t="s">
        <v>422</v>
      </c>
      <c r="R175" s="25" t="s">
        <v>414</v>
      </c>
      <c r="S175" s="24">
        <v>1</v>
      </c>
      <c r="T175" s="16">
        <v>-2.4908215180707075E-2</v>
      </c>
      <c r="U175" s="16">
        <v>9.6587631815339053E-2</v>
      </c>
      <c r="V175" s="25" t="s">
        <v>389</v>
      </c>
      <c r="W175" s="26" t="s">
        <v>446</v>
      </c>
      <c r="X175" s="2"/>
      <c r="Y175" s="2"/>
      <c r="Z175" s="2"/>
      <c r="AA175" s="2"/>
      <c r="AB175" s="2"/>
      <c r="AC175" s="2"/>
    </row>
    <row r="176" spans="1:29" ht="23" x14ac:dyDescent="0.35">
      <c r="A176" s="13"/>
      <c r="B176" s="14" t="s">
        <v>22</v>
      </c>
      <c r="C176" s="27">
        <v>1.6576540952472353E-5</v>
      </c>
      <c r="D176" s="16">
        <v>1.9029768972406345E-9</v>
      </c>
      <c r="E176" s="16">
        <v>4.8601554233572842E-11</v>
      </c>
      <c r="F176" s="16">
        <v>1.7462203984764681E-4</v>
      </c>
      <c r="G176" s="16">
        <v>0.28845024562240906</v>
      </c>
      <c r="H176" s="16">
        <v>1.6026680443281569E-2</v>
      </c>
      <c r="I176" s="16">
        <v>1.4546072083375482E-2</v>
      </c>
      <c r="J176" s="16">
        <v>4.3580469635892301E-2</v>
      </c>
      <c r="K176" s="16">
        <v>0.26521243648209275</v>
      </c>
      <c r="L176" s="16">
        <v>7.9920969324898843E-4</v>
      </c>
      <c r="M176" s="16">
        <v>7.7724305783073711E-5</v>
      </c>
      <c r="N176" s="16">
        <v>2.975663622988415E-7</v>
      </c>
      <c r="O176" s="16">
        <v>2.3477567531684326E-5</v>
      </c>
      <c r="P176" s="16">
        <v>3.0390473323467602E-4</v>
      </c>
      <c r="Q176" s="16">
        <v>4.0249004952930542E-5</v>
      </c>
      <c r="R176" s="16">
        <v>2.6899055107622858E-4</v>
      </c>
      <c r="S176" s="28"/>
      <c r="T176" s="16">
        <v>0.7158528989046713</v>
      </c>
      <c r="U176" s="16">
        <v>0.15718135795851573</v>
      </c>
      <c r="V176" s="16">
        <v>1.6756971791645581E-4</v>
      </c>
      <c r="W176" s="17">
        <v>2.4756037949506155E-12</v>
      </c>
      <c r="X176" s="2"/>
      <c r="Y176" s="2"/>
      <c r="Z176" s="2"/>
      <c r="AA176" s="2"/>
      <c r="AB176" s="2"/>
      <c r="AC176" s="2"/>
    </row>
    <row r="177" spans="1:29" x14ac:dyDescent="0.35">
      <c r="A177" s="18"/>
      <c r="B177" s="19" t="s">
        <v>23</v>
      </c>
      <c r="C177" s="20">
        <v>216</v>
      </c>
      <c r="D177" s="21">
        <v>216</v>
      </c>
      <c r="E177" s="21">
        <v>216</v>
      </c>
      <c r="F177" s="21">
        <v>216</v>
      </c>
      <c r="G177" s="21">
        <v>216</v>
      </c>
      <c r="H177" s="21">
        <v>216</v>
      </c>
      <c r="I177" s="21">
        <v>216</v>
      </c>
      <c r="J177" s="21">
        <v>216</v>
      </c>
      <c r="K177" s="21">
        <v>216</v>
      </c>
      <c r="L177" s="21">
        <v>216</v>
      </c>
      <c r="M177" s="21">
        <v>216</v>
      </c>
      <c r="N177" s="21">
        <v>216</v>
      </c>
      <c r="O177" s="21">
        <v>216</v>
      </c>
      <c r="P177" s="21">
        <v>216</v>
      </c>
      <c r="Q177" s="21">
        <v>216</v>
      </c>
      <c r="R177" s="21">
        <v>216</v>
      </c>
      <c r="S177" s="21">
        <v>216</v>
      </c>
      <c r="T177" s="21">
        <v>216</v>
      </c>
      <c r="U177" s="21">
        <v>216</v>
      </c>
      <c r="V177" s="21">
        <v>216</v>
      </c>
      <c r="W177" s="22">
        <v>216</v>
      </c>
      <c r="X177" s="2"/>
      <c r="Y177" s="2"/>
      <c r="Z177" s="2"/>
      <c r="AA177" s="2"/>
      <c r="AB177" s="2"/>
      <c r="AC177" s="2"/>
    </row>
    <row r="178" spans="1:29" ht="34.5" x14ac:dyDescent="0.35">
      <c r="A178" s="18" t="s">
        <v>63</v>
      </c>
      <c r="B178" s="14" t="s">
        <v>21</v>
      </c>
      <c r="C178" s="23" t="s">
        <v>312</v>
      </c>
      <c r="D178" s="16">
        <v>0.12426135397136132</v>
      </c>
      <c r="E178" s="25" t="s">
        <v>385</v>
      </c>
      <c r="F178" s="25" t="s">
        <v>322</v>
      </c>
      <c r="G178" s="25" t="s">
        <v>396</v>
      </c>
      <c r="H178" s="25" t="s">
        <v>159</v>
      </c>
      <c r="I178" s="25" t="s">
        <v>235</v>
      </c>
      <c r="J178" s="25" t="s">
        <v>328</v>
      </c>
      <c r="K178" s="25" t="s">
        <v>412</v>
      </c>
      <c r="L178" s="16">
        <v>5.1296456912520161E-2</v>
      </c>
      <c r="M178" s="25" t="s">
        <v>291</v>
      </c>
      <c r="N178" s="25" t="s">
        <v>136</v>
      </c>
      <c r="O178" s="16">
        <v>9.4822151255712389E-2</v>
      </c>
      <c r="P178" s="25" t="s">
        <v>221</v>
      </c>
      <c r="Q178" s="25" t="s">
        <v>424</v>
      </c>
      <c r="R178" s="25" t="s">
        <v>425</v>
      </c>
      <c r="S178" s="16">
        <v>-2.4908215180707075E-2</v>
      </c>
      <c r="T178" s="24">
        <v>1</v>
      </c>
      <c r="U178" s="25" t="s">
        <v>427</v>
      </c>
      <c r="V178" s="25" t="s">
        <v>235</v>
      </c>
      <c r="W178" s="26" t="s">
        <v>340</v>
      </c>
      <c r="X178" s="2"/>
      <c r="Y178" s="2"/>
      <c r="Z178" s="2"/>
      <c r="AA178" s="2"/>
      <c r="AB178" s="2"/>
      <c r="AC178" s="2"/>
    </row>
    <row r="179" spans="1:29" ht="23" x14ac:dyDescent="0.35">
      <c r="A179" s="13"/>
      <c r="B179" s="14" t="s">
        <v>22</v>
      </c>
      <c r="C179" s="27">
        <v>1.1156639884624203E-4</v>
      </c>
      <c r="D179" s="16">
        <v>6.8343471261455457E-2</v>
      </c>
      <c r="E179" s="16">
        <v>1.4283477616422881E-2</v>
      </c>
      <c r="F179" s="16">
        <v>8.6825617700887603E-7</v>
      </c>
      <c r="G179" s="16">
        <v>1.2771943489061134E-3</v>
      </c>
      <c r="H179" s="16">
        <v>7.86644873443066E-4</v>
      </c>
      <c r="I179" s="16">
        <v>2.1697133056114125E-8</v>
      </c>
      <c r="J179" s="16">
        <v>1.6064659925418308E-5</v>
      </c>
      <c r="K179" s="16">
        <v>3.5199686840955714E-11</v>
      </c>
      <c r="L179" s="16">
        <v>0.45324247437925502</v>
      </c>
      <c r="M179" s="16">
        <v>6.2068835488644529E-6</v>
      </c>
      <c r="N179" s="16">
        <v>1.4868279273549649E-4</v>
      </c>
      <c r="O179" s="16">
        <v>0.16494230641658972</v>
      </c>
      <c r="P179" s="16">
        <v>5.4532504220049364E-7</v>
      </c>
      <c r="Q179" s="16">
        <v>2.1951330858766468E-4</v>
      </c>
      <c r="R179" s="16">
        <v>2.5135873276669201E-2</v>
      </c>
      <c r="S179" s="16">
        <v>0.7158528989046713</v>
      </c>
      <c r="T179" s="28"/>
      <c r="U179" s="16">
        <v>3.6357707638224115E-7</v>
      </c>
      <c r="V179" s="16">
        <v>2.3284049384930289E-8</v>
      </c>
      <c r="W179" s="17">
        <v>1.8343751995807659E-14</v>
      </c>
      <c r="X179" s="2"/>
      <c r="Y179" s="2"/>
      <c r="Z179" s="2"/>
      <c r="AA179" s="2"/>
      <c r="AB179" s="2"/>
      <c r="AC179" s="2"/>
    </row>
    <row r="180" spans="1:29" x14ac:dyDescent="0.35">
      <c r="A180" s="18"/>
      <c r="B180" s="19" t="s">
        <v>23</v>
      </c>
      <c r="C180" s="20">
        <v>216</v>
      </c>
      <c r="D180" s="21">
        <v>216</v>
      </c>
      <c r="E180" s="21">
        <v>216</v>
      </c>
      <c r="F180" s="21">
        <v>216</v>
      </c>
      <c r="G180" s="21">
        <v>216</v>
      </c>
      <c r="H180" s="21">
        <v>216</v>
      </c>
      <c r="I180" s="21">
        <v>216</v>
      </c>
      <c r="J180" s="21">
        <v>216</v>
      </c>
      <c r="K180" s="21">
        <v>216</v>
      </c>
      <c r="L180" s="21">
        <v>216</v>
      </c>
      <c r="M180" s="21">
        <v>216</v>
      </c>
      <c r="N180" s="21">
        <v>216</v>
      </c>
      <c r="O180" s="21">
        <v>216</v>
      </c>
      <c r="P180" s="21">
        <v>216</v>
      </c>
      <c r="Q180" s="21">
        <v>216</v>
      </c>
      <c r="R180" s="21">
        <v>216</v>
      </c>
      <c r="S180" s="21">
        <v>216</v>
      </c>
      <c r="T180" s="21">
        <v>216</v>
      </c>
      <c r="U180" s="21">
        <v>216</v>
      </c>
      <c r="V180" s="21">
        <v>216</v>
      </c>
      <c r="W180" s="22">
        <v>216</v>
      </c>
      <c r="X180" s="2"/>
      <c r="Y180" s="2"/>
      <c r="Z180" s="2"/>
      <c r="AA180" s="2"/>
      <c r="AB180" s="2"/>
      <c r="AC180" s="2"/>
    </row>
    <row r="181" spans="1:29" ht="34.5" x14ac:dyDescent="0.35">
      <c r="A181" s="18" t="s">
        <v>64</v>
      </c>
      <c r="B181" s="14" t="s">
        <v>21</v>
      </c>
      <c r="C181" s="23" t="s">
        <v>201</v>
      </c>
      <c r="D181" s="25" t="s">
        <v>239</v>
      </c>
      <c r="E181" s="25" t="s">
        <v>390</v>
      </c>
      <c r="F181" s="25" t="s">
        <v>301</v>
      </c>
      <c r="G181" s="25" t="s">
        <v>282</v>
      </c>
      <c r="H181" s="25" t="s">
        <v>393</v>
      </c>
      <c r="I181" s="25" t="s">
        <v>287</v>
      </c>
      <c r="J181" s="25" t="s">
        <v>209</v>
      </c>
      <c r="K181" s="25" t="s">
        <v>353</v>
      </c>
      <c r="L181" s="16">
        <v>0.10947101171543556</v>
      </c>
      <c r="M181" s="25" t="s">
        <v>354</v>
      </c>
      <c r="N181" s="25" t="s">
        <v>152</v>
      </c>
      <c r="O181" s="16">
        <v>8.3516746513938686E-2</v>
      </c>
      <c r="P181" s="25" t="s">
        <v>372</v>
      </c>
      <c r="Q181" s="25" t="s">
        <v>426</v>
      </c>
      <c r="R181" s="16">
        <v>0.12308971598286324</v>
      </c>
      <c r="S181" s="16">
        <v>9.6587631815339053E-2</v>
      </c>
      <c r="T181" s="25" t="s">
        <v>427</v>
      </c>
      <c r="U181" s="24">
        <v>1</v>
      </c>
      <c r="V181" s="25" t="s">
        <v>474</v>
      </c>
      <c r="W181" s="26" t="s">
        <v>274</v>
      </c>
      <c r="X181" s="2"/>
      <c r="Y181" s="2"/>
      <c r="Z181" s="2"/>
      <c r="AA181" s="2"/>
      <c r="AB181" s="2"/>
      <c r="AC181" s="2"/>
    </row>
    <row r="182" spans="1:29" ht="23" x14ac:dyDescent="0.35">
      <c r="A182" s="13"/>
      <c r="B182" s="14" t="s">
        <v>22</v>
      </c>
      <c r="C182" s="27">
        <v>4.333237762760038E-2</v>
      </c>
      <c r="D182" s="16">
        <v>2.9638976357596256E-6</v>
      </c>
      <c r="E182" s="16">
        <v>1.5652751242804322E-3</v>
      </c>
      <c r="F182" s="16">
        <v>3.9796698903668236E-3</v>
      </c>
      <c r="G182" s="16">
        <v>2.816153227594272E-3</v>
      </c>
      <c r="H182" s="16">
        <v>9.6685699837653356E-4</v>
      </c>
      <c r="I182" s="16">
        <v>6.3189667437656962E-5</v>
      </c>
      <c r="J182" s="16">
        <v>4.6144163593906133E-5</v>
      </c>
      <c r="K182" s="16">
        <v>8.235453682981288E-10</v>
      </c>
      <c r="L182" s="16">
        <v>0.10863062753919407</v>
      </c>
      <c r="M182" s="16">
        <v>1.8174693176810128E-12</v>
      </c>
      <c r="N182" s="16">
        <v>4.6441719751964034E-5</v>
      </c>
      <c r="O182" s="16">
        <v>0.22153557459822729</v>
      </c>
      <c r="P182" s="16">
        <v>1.2792422064552977E-8</v>
      </c>
      <c r="Q182" s="16">
        <v>2.0747597382892464E-3</v>
      </c>
      <c r="R182" s="16">
        <v>7.1009510179644561E-2</v>
      </c>
      <c r="S182" s="16">
        <v>0.15718135795851573</v>
      </c>
      <c r="T182" s="16">
        <v>3.6357707638224115E-7</v>
      </c>
      <c r="U182" s="28"/>
      <c r="V182" s="16">
        <v>8.4033672900327628E-6</v>
      </c>
      <c r="W182" s="17">
        <v>2.2326735310777861E-15</v>
      </c>
      <c r="X182" s="2"/>
      <c r="Y182" s="2"/>
      <c r="Z182" s="2"/>
      <c r="AA182" s="2"/>
      <c r="AB182" s="2"/>
      <c r="AC182" s="2"/>
    </row>
    <row r="183" spans="1:29" x14ac:dyDescent="0.35">
      <c r="A183" s="18"/>
      <c r="B183" s="19" t="s">
        <v>23</v>
      </c>
      <c r="C183" s="20">
        <v>216</v>
      </c>
      <c r="D183" s="21">
        <v>216</v>
      </c>
      <c r="E183" s="21">
        <v>216</v>
      </c>
      <c r="F183" s="21">
        <v>216</v>
      </c>
      <c r="G183" s="21">
        <v>216</v>
      </c>
      <c r="H183" s="21">
        <v>216</v>
      </c>
      <c r="I183" s="21">
        <v>216</v>
      </c>
      <c r="J183" s="21">
        <v>216</v>
      </c>
      <c r="K183" s="21">
        <v>216</v>
      </c>
      <c r="L183" s="21">
        <v>216</v>
      </c>
      <c r="M183" s="21">
        <v>216</v>
      </c>
      <c r="N183" s="21">
        <v>216</v>
      </c>
      <c r="O183" s="21">
        <v>216</v>
      </c>
      <c r="P183" s="21">
        <v>216</v>
      </c>
      <c r="Q183" s="21">
        <v>216</v>
      </c>
      <c r="R183" s="21">
        <v>216</v>
      </c>
      <c r="S183" s="21">
        <v>216</v>
      </c>
      <c r="T183" s="21">
        <v>216</v>
      </c>
      <c r="U183" s="21">
        <v>216</v>
      </c>
      <c r="V183" s="21">
        <v>216</v>
      </c>
      <c r="W183" s="22">
        <v>216</v>
      </c>
      <c r="X183" s="2"/>
      <c r="Y183" s="2"/>
      <c r="Z183" s="2"/>
      <c r="AA183" s="2"/>
      <c r="AB183" s="2"/>
      <c r="AC183" s="2"/>
    </row>
    <row r="184" spans="1:29" ht="34.5" x14ac:dyDescent="0.35">
      <c r="A184" s="18" t="s">
        <v>65</v>
      </c>
      <c r="B184" s="14" t="s">
        <v>21</v>
      </c>
      <c r="C184" s="23" t="s">
        <v>417</v>
      </c>
      <c r="D184" s="25" t="s">
        <v>275</v>
      </c>
      <c r="E184" s="25" t="s">
        <v>428</v>
      </c>
      <c r="F184" s="25" t="s">
        <v>429</v>
      </c>
      <c r="G184" s="25" t="s">
        <v>206</v>
      </c>
      <c r="H184" s="25" t="s">
        <v>291</v>
      </c>
      <c r="I184" s="25" t="s">
        <v>430</v>
      </c>
      <c r="J184" s="25" t="s">
        <v>320</v>
      </c>
      <c r="K184" s="25" t="s">
        <v>140</v>
      </c>
      <c r="L184" s="25" t="s">
        <v>431</v>
      </c>
      <c r="M184" s="25" t="s">
        <v>432</v>
      </c>
      <c r="N184" s="25" t="s">
        <v>303</v>
      </c>
      <c r="O184" s="25" t="s">
        <v>172</v>
      </c>
      <c r="P184" s="25" t="s">
        <v>224</v>
      </c>
      <c r="Q184" s="25" t="s">
        <v>337</v>
      </c>
      <c r="R184" s="25" t="s">
        <v>433</v>
      </c>
      <c r="S184" s="25" t="s">
        <v>389</v>
      </c>
      <c r="T184" s="25" t="s">
        <v>235</v>
      </c>
      <c r="U184" s="25" t="s">
        <v>474</v>
      </c>
      <c r="V184" s="24">
        <v>1</v>
      </c>
      <c r="W184" s="26" t="s">
        <v>559</v>
      </c>
      <c r="X184" s="2"/>
      <c r="Y184" s="2"/>
      <c r="Z184" s="2"/>
      <c r="AA184" s="2"/>
      <c r="AB184" s="2"/>
      <c r="AC184" s="2"/>
    </row>
    <row r="185" spans="1:29" ht="23" x14ac:dyDescent="0.35">
      <c r="A185" s="13"/>
      <c r="B185" s="14" t="s">
        <v>22</v>
      </c>
      <c r="C185" s="27">
        <v>7.4380052863368145E-5</v>
      </c>
      <c r="D185" s="16">
        <v>3.5108540018462454E-2</v>
      </c>
      <c r="E185" s="16">
        <v>3.0633413183994793E-3</v>
      </c>
      <c r="F185" s="16">
        <v>5.032024173732157E-10</v>
      </c>
      <c r="G185" s="16">
        <v>5.8157941570915805E-7</v>
      </c>
      <c r="H185" s="16">
        <v>6.2757947570010296E-6</v>
      </c>
      <c r="I185" s="16">
        <v>4.478646098960266E-39</v>
      </c>
      <c r="J185" s="16">
        <v>3.7803401489430217E-4</v>
      </c>
      <c r="K185" s="16">
        <v>8.8740064843920293E-5</v>
      </c>
      <c r="L185" s="16">
        <v>7.4639297947374137E-10</v>
      </c>
      <c r="M185" s="16">
        <v>6.7235167506555864E-12</v>
      </c>
      <c r="N185" s="16">
        <v>3.6326493683420447E-6</v>
      </c>
      <c r="O185" s="16">
        <v>9.5376091806717127E-3</v>
      </c>
      <c r="P185" s="16">
        <v>8.3432769131284778E-7</v>
      </c>
      <c r="Q185" s="16">
        <v>9.0282218186629512E-10</v>
      </c>
      <c r="R185" s="16">
        <v>1.003842708335344E-7</v>
      </c>
      <c r="S185" s="16">
        <v>1.6756971791645581E-4</v>
      </c>
      <c r="T185" s="16">
        <v>2.3284049384930289E-8</v>
      </c>
      <c r="U185" s="16">
        <v>8.4033672900327628E-6</v>
      </c>
      <c r="V185" s="28"/>
      <c r="W185" s="17">
        <v>5.6630943517300426E-26</v>
      </c>
      <c r="X185" s="2"/>
      <c r="Y185" s="2"/>
      <c r="Z185" s="2"/>
      <c r="AA185" s="2"/>
      <c r="AB185" s="2"/>
      <c r="AC185" s="2"/>
    </row>
    <row r="186" spans="1:29" x14ac:dyDescent="0.35">
      <c r="A186" s="18"/>
      <c r="B186" s="19" t="s">
        <v>23</v>
      </c>
      <c r="C186" s="20">
        <v>216</v>
      </c>
      <c r="D186" s="21">
        <v>216</v>
      </c>
      <c r="E186" s="21">
        <v>216</v>
      </c>
      <c r="F186" s="21">
        <v>216</v>
      </c>
      <c r="G186" s="21">
        <v>216</v>
      </c>
      <c r="H186" s="21">
        <v>216</v>
      </c>
      <c r="I186" s="21">
        <v>216</v>
      </c>
      <c r="J186" s="21">
        <v>216</v>
      </c>
      <c r="K186" s="21">
        <v>216</v>
      </c>
      <c r="L186" s="21">
        <v>216</v>
      </c>
      <c r="M186" s="21">
        <v>216</v>
      </c>
      <c r="N186" s="21">
        <v>216</v>
      </c>
      <c r="O186" s="21">
        <v>216</v>
      </c>
      <c r="P186" s="21">
        <v>216</v>
      </c>
      <c r="Q186" s="21">
        <v>216</v>
      </c>
      <c r="R186" s="21">
        <v>216</v>
      </c>
      <c r="S186" s="21">
        <v>216</v>
      </c>
      <c r="T186" s="21">
        <v>216</v>
      </c>
      <c r="U186" s="21">
        <v>216</v>
      </c>
      <c r="V186" s="21">
        <v>216</v>
      </c>
      <c r="W186" s="22">
        <v>216</v>
      </c>
      <c r="X186" s="2"/>
      <c r="Y186" s="2"/>
      <c r="Z186" s="2"/>
      <c r="AA186" s="2"/>
      <c r="AB186" s="2"/>
      <c r="AC186" s="2"/>
    </row>
    <row r="187" spans="1:29" ht="34.5" x14ac:dyDescent="0.35">
      <c r="A187" s="18" t="s">
        <v>66</v>
      </c>
      <c r="B187" s="14" t="s">
        <v>21</v>
      </c>
      <c r="C187" s="23" t="s">
        <v>434</v>
      </c>
      <c r="D187" s="25" t="s">
        <v>435</v>
      </c>
      <c r="E187" s="25" t="s">
        <v>290</v>
      </c>
      <c r="F187" s="25" t="s">
        <v>436</v>
      </c>
      <c r="G187" s="25" t="s">
        <v>437</v>
      </c>
      <c r="H187" s="25" t="s">
        <v>289</v>
      </c>
      <c r="I187" s="25" t="s">
        <v>438</v>
      </c>
      <c r="J187" s="25" t="s">
        <v>439</v>
      </c>
      <c r="K187" s="25" t="s">
        <v>274</v>
      </c>
      <c r="L187" s="25" t="s">
        <v>440</v>
      </c>
      <c r="M187" s="25" t="s">
        <v>441</v>
      </c>
      <c r="N187" s="25" t="s">
        <v>442</v>
      </c>
      <c r="O187" s="25" t="s">
        <v>216</v>
      </c>
      <c r="P187" s="25" t="s">
        <v>443</v>
      </c>
      <c r="Q187" s="25" t="s">
        <v>444</v>
      </c>
      <c r="R187" s="25" t="s">
        <v>445</v>
      </c>
      <c r="S187" s="25" t="s">
        <v>446</v>
      </c>
      <c r="T187" s="25" t="s">
        <v>340</v>
      </c>
      <c r="U187" s="25" t="s">
        <v>274</v>
      </c>
      <c r="V187" s="25" t="s">
        <v>559</v>
      </c>
      <c r="W187" s="29">
        <v>1</v>
      </c>
      <c r="X187" s="2"/>
      <c r="Y187" s="2"/>
      <c r="Z187" s="2"/>
      <c r="AA187" s="2"/>
      <c r="AB187" s="2"/>
      <c r="AC187" s="2"/>
    </row>
    <row r="188" spans="1:29" ht="23" x14ac:dyDescent="0.35">
      <c r="A188" s="13"/>
      <c r="B188" s="14" t="s">
        <v>22</v>
      </c>
      <c r="C188" s="27">
        <v>5.6023460721742724E-22</v>
      </c>
      <c r="D188" s="16">
        <v>4.8880999614241892E-14</v>
      </c>
      <c r="E188" s="16">
        <v>6.0397042629561627E-19</v>
      </c>
      <c r="F188" s="16">
        <v>2.2984924806364548E-26</v>
      </c>
      <c r="G188" s="16">
        <v>4.6670344888759397E-14</v>
      </c>
      <c r="H188" s="16">
        <v>8.296568461311183E-18</v>
      </c>
      <c r="I188" s="16">
        <v>8.3372470068587959E-21</v>
      </c>
      <c r="J188" s="16">
        <v>3.148964224600256E-21</v>
      </c>
      <c r="K188" s="16">
        <v>2.1655430223066758E-15</v>
      </c>
      <c r="L188" s="16">
        <v>1.6324651062501139E-18</v>
      </c>
      <c r="M188" s="16">
        <v>1.2602116732608317E-22</v>
      </c>
      <c r="N188" s="16">
        <v>5.9501764868394432E-25</v>
      </c>
      <c r="O188" s="16">
        <v>9.1299326165803451E-11</v>
      </c>
      <c r="P188" s="16">
        <v>1.3855733837077052E-33</v>
      </c>
      <c r="Q188" s="16">
        <v>1.578195025910622E-27</v>
      </c>
      <c r="R188" s="16">
        <v>1.026277074278225E-20</v>
      </c>
      <c r="S188" s="16">
        <v>2.4756037949506155E-12</v>
      </c>
      <c r="T188" s="16">
        <v>1.8343751995807659E-14</v>
      </c>
      <c r="U188" s="16">
        <v>2.2326735310777861E-15</v>
      </c>
      <c r="V188" s="16">
        <v>5.6630943517300426E-26</v>
      </c>
      <c r="W188" s="30"/>
      <c r="X188" s="2"/>
      <c r="Y188" s="2"/>
      <c r="Z188" s="2"/>
      <c r="AA188" s="2"/>
      <c r="AB188" s="2"/>
      <c r="AC188" s="2"/>
    </row>
    <row r="189" spans="1:29" x14ac:dyDescent="0.35">
      <c r="A189" s="31"/>
      <c r="B189" s="32" t="s">
        <v>23</v>
      </c>
      <c r="C189" s="33">
        <v>216</v>
      </c>
      <c r="D189" s="34">
        <v>216</v>
      </c>
      <c r="E189" s="34">
        <v>216</v>
      </c>
      <c r="F189" s="34">
        <v>216</v>
      </c>
      <c r="G189" s="34">
        <v>216</v>
      </c>
      <c r="H189" s="34">
        <v>216</v>
      </c>
      <c r="I189" s="34">
        <v>216</v>
      </c>
      <c r="J189" s="34">
        <v>216</v>
      </c>
      <c r="K189" s="34">
        <v>216</v>
      </c>
      <c r="L189" s="34">
        <v>216</v>
      </c>
      <c r="M189" s="34">
        <v>216</v>
      </c>
      <c r="N189" s="34">
        <v>216</v>
      </c>
      <c r="O189" s="34">
        <v>216</v>
      </c>
      <c r="P189" s="34">
        <v>216</v>
      </c>
      <c r="Q189" s="34">
        <v>216</v>
      </c>
      <c r="R189" s="34">
        <v>216</v>
      </c>
      <c r="S189" s="34">
        <v>216</v>
      </c>
      <c r="T189" s="34">
        <v>216</v>
      </c>
      <c r="U189" s="34">
        <v>216</v>
      </c>
      <c r="V189" s="34">
        <v>216</v>
      </c>
      <c r="W189" s="35">
        <v>216</v>
      </c>
      <c r="X189" s="2"/>
      <c r="Y189" s="2"/>
      <c r="Z189" s="2"/>
      <c r="AA189" s="2"/>
      <c r="AB189" s="2"/>
      <c r="AC189" s="2"/>
    </row>
    <row r="190" spans="1:29" x14ac:dyDescent="0.35">
      <c r="A190" s="36" t="s">
        <v>24</v>
      </c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2"/>
      <c r="Y190" s="2"/>
      <c r="Z190" s="2"/>
      <c r="AA190" s="2"/>
      <c r="AB190" s="2"/>
      <c r="AC190" s="2"/>
    </row>
    <row r="191" spans="1:29" x14ac:dyDescent="0.35">
      <c r="A191" s="36" t="s">
        <v>25</v>
      </c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2"/>
      <c r="Y191" s="2"/>
      <c r="Z191" s="2"/>
      <c r="AA191" s="2"/>
      <c r="AB191" s="2"/>
      <c r="AC191" s="2"/>
    </row>
    <row r="192" spans="1:29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x14ac:dyDescent="0.35">
      <c r="A193" s="1" t="s">
        <v>2</v>
      </c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24" x14ac:dyDescent="0.35">
      <c r="A194" s="3" t="s">
        <v>1</v>
      </c>
      <c r="B194" s="3"/>
      <c r="C194" s="4" t="s">
        <v>67</v>
      </c>
      <c r="D194" s="5" t="s">
        <v>68</v>
      </c>
      <c r="E194" s="5" t="s">
        <v>69</v>
      </c>
      <c r="F194" s="5" t="s">
        <v>70</v>
      </c>
      <c r="G194" s="5" t="s">
        <v>71</v>
      </c>
      <c r="H194" s="5" t="s">
        <v>72</v>
      </c>
      <c r="I194" s="5" t="s">
        <v>73</v>
      </c>
      <c r="J194" s="5" t="s">
        <v>74</v>
      </c>
      <c r="K194" s="5" t="s">
        <v>75</v>
      </c>
      <c r="L194" s="5" t="s">
        <v>76</v>
      </c>
      <c r="M194" s="5" t="s">
        <v>77</v>
      </c>
      <c r="N194" s="5" t="s">
        <v>78</v>
      </c>
      <c r="O194" s="5" t="s">
        <v>79</v>
      </c>
      <c r="P194" s="5" t="s">
        <v>80</v>
      </c>
      <c r="Q194" s="5" t="s">
        <v>81</v>
      </c>
      <c r="R194" s="5" t="s">
        <v>82</v>
      </c>
      <c r="S194" s="5" t="s">
        <v>83</v>
      </c>
      <c r="T194" s="6" t="s">
        <v>84</v>
      </c>
      <c r="U194" s="2"/>
      <c r="V194" s="38" t="s">
        <v>0</v>
      </c>
      <c r="W194" s="38" t="s">
        <v>130</v>
      </c>
      <c r="X194" s="38" t="s">
        <v>131</v>
      </c>
      <c r="Y194" s="38" t="s">
        <v>132</v>
      </c>
      <c r="Z194" s="2"/>
      <c r="AA194" s="2"/>
      <c r="AB194" s="2"/>
      <c r="AC194" s="2"/>
    </row>
    <row r="195" spans="1:29" ht="34.5" x14ac:dyDescent="0.35">
      <c r="A195" s="7" t="s">
        <v>67</v>
      </c>
      <c r="B195" s="8" t="s">
        <v>21</v>
      </c>
      <c r="C195" s="9">
        <v>1</v>
      </c>
      <c r="D195" s="10" t="s">
        <v>387</v>
      </c>
      <c r="E195" s="10" t="s">
        <v>216</v>
      </c>
      <c r="F195" s="11">
        <v>-8.8509126462915245E-3</v>
      </c>
      <c r="G195" s="10" t="s">
        <v>447</v>
      </c>
      <c r="H195" s="10" t="s">
        <v>282</v>
      </c>
      <c r="I195" s="11">
        <v>0.10801563073974206</v>
      </c>
      <c r="J195" s="10" t="s">
        <v>448</v>
      </c>
      <c r="K195" s="11">
        <v>0.10933220076730281</v>
      </c>
      <c r="L195" s="10" t="s">
        <v>389</v>
      </c>
      <c r="M195" s="11">
        <v>0.12882023703512077</v>
      </c>
      <c r="N195" s="11">
        <v>0.12504714412823997</v>
      </c>
      <c r="O195" s="10" t="s">
        <v>394</v>
      </c>
      <c r="P195" s="10" t="s">
        <v>331</v>
      </c>
      <c r="Q195" s="10" t="s">
        <v>371</v>
      </c>
      <c r="R195" s="11">
        <v>-3.2813010971560557E-3</v>
      </c>
      <c r="S195" s="10" t="s">
        <v>323</v>
      </c>
      <c r="T195" s="12" t="s">
        <v>285</v>
      </c>
      <c r="U195" s="2"/>
      <c r="V195" s="37" t="str" cm="1">
        <f t="array" ref="V195">INDEX(A:A, (ROW()*3)-(ROW($V$195)*2))</f>
        <v>KK1</v>
      </c>
      <c r="W195" s="37" t="str" cm="1">
        <f t="array" ref="W195">INDEX(T:T, (ROW()*3)-(ROW($V$195)*2))</f>
        <v>0,503**</v>
      </c>
      <c r="X195" s="39" cm="1">
        <f t="array" ref="X195">INDEX(T:T, (ROW()*3)-(ROW($V$195)*2)+1)</f>
        <v>2.7677770660852225E-15</v>
      </c>
      <c r="Y195" s="37" t="str">
        <f t="shared" ref="Y195:Y211" si="3">IF(X195&lt;0.05,"Valid","Tidak Valid")</f>
        <v>Valid</v>
      </c>
      <c r="Z195" s="2"/>
      <c r="AA195" s="2"/>
      <c r="AB195" s="2"/>
      <c r="AC195" s="2"/>
    </row>
    <row r="196" spans="1:29" ht="23" x14ac:dyDescent="0.35">
      <c r="A196" s="13"/>
      <c r="B196" s="14" t="s">
        <v>22</v>
      </c>
      <c r="C196" s="15"/>
      <c r="D196" s="16">
        <v>2.8064673840437436E-7</v>
      </c>
      <c r="E196" s="16">
        <v>8.6519128602533199E-11</v>
      </c>
      <c r="F196" s="16">
        <v>0.89709728320388327</v>
      </c>
      <c r="G196" s="16">
        <v>9.0244682482066689E-9</v>
      </c>
      <c r="H196" s="16">
        <v>2.8082698335381131E-3</v>
      </c>
      <c r="I196" s="16">
        <v>0.11343916524357459</v>
      </c>
      <c r="J196" s="16">
        <v>6.8891351029034645E-5</v>
      </c>
      <c r="K196" s="16">
        <v>0.10908223114994672</v>
      </c>
      <c r="L196" s="16">
        <v>1.6648505402442899E-4</v>
      </c>
      <c r="M196" s="16">
        <v>5.873650923601953E-2</v>
      </c>
      <c r="N196" s="16">
        <v>6.6601626992458487E-2</v>
      </c>
      <c r="O196" s="16">
        <v>1.3643671647349028E-2</v>
      </c>
      <c r="P196" s="16">
        <v>2.582686422990347E-3</v>
      </c>
      <c r="Q196" s="16">
        <v>9.3237414571384499E-4</v>
      </c>
      <c r="R196" s="16">
        <v>0.96175977089478404</v>
      </c>
      <c r="S196" s="16">
        <v>3.3365143666543068E-5</v>
      </c>
      <c r="T196" s="17">
        <v>2.7677770660852225E-15</v>
      </c>
      <c r="U196" s="2"/>
      <c r="V196" s="37" t="str" cm="1">
        <f t="array" ref="V196">INDEX(A:A, (ROW()*3)-(ROW($V$195)*2))</f>
        <v>KK2</v>
      </c>
      <c r="W196" s="37" t="str" cm="1">
        <f t="array" ref="W196">INDEX(T:T, (ROW()*3)-(ROW($V$195)*2))</f>
        <v>0,614**</v>
      </c>
      <c r="X196" s="39" cm="1">
        <f t="array" ref="X196">INDEX(T:T, (ROW()*3)-(ROW($V$195)*2)+1)</f>
        <v>9.9912300781073355E-24</v>
      </c>
      <c r="Y196" s="37" t="str">
        <f t="shared" si="3"/>
        <v>Valid</v>
      </c>
      <c r="Z196" s="2"/>
      <c r="AA196" s="2"/>
      <c r="AB196" s="2"/>
      <c r="AC196" s="2"/>
    </row>
    <row r="197" spans="1:29" x14ac:dyDescent="0.35">
      <c r="A197" s="18"/>
      <c r="B197" s="19" t="s">
        <v>23</v>
      </c>
      <c r="C197" s="20">
        <v>216</v>
      </c>
      <c r="D197" s="21">
        <v>216</v>
      </c>
      <c r="E197" s="21">
        <v>216</v>
      </c>
      <c r="F197" s="21">
        <v>216</v>
      </c>
      <c r="G197" s="21">
        <v>216</v>
      </c>
      <c r="H197" s="21">
        <v>216</v>
      </c>
      <c r="I197" s="21">
        <v>216</v>
      </c>
      <c r="J197" s="21">
        <v>216</v>
      </c>
      <c r="K197" s="21">
        <v>216</v>
      </c>
      <c r="L197" s="21">
        <v>216</v>
      </c>
      <c r="M197" s="21">
        <v>216</v>
      </c>
      <c r="N197" s="21">
        <v>216</v>
      </c>
      <c r="O197" s="21">
        <v>216</v>
      </c>
      <c r="P197" s="21">
        <v>216</v>
      </c>
      <c r="Q197" s="21">
        <v>216</v>
      </c>
      <c r="R197" s="21">
        <v>216</v>
      </c>
      <c r="S197" s="21">
        <v>216</v>
      </c>
      <c r="T197" s="22">
        <v>216</v>
      </c>
      <c r="U197" s="2"/>
      <c r="V197" s="37" t="str" cm="1">
        <f t="array" ref="V197">INDEX(A:A, (ROW()*3)-(ROW($V$195)*2))</f>
        <v>KK3</v>
      </c>
      <c r="W197" s="37" t="str" cm="1">
        <f t="array" ref="W197">INDEX(T:T, (ROW()*3)-(ROW($V$195)*2))</f>
        <v>0,468**</v>
      </c>
      <c r="X197" s="39" cm="1">
        <f t="array" ref="X197">INDEX(T:T, (ROW()*3)-(ROW($V$195)*2)+1)</f>
        <v>3.7435885437612534E-13</v>
      </c>
      <c r="Y197" s="37" t="str">
        <f t="shared" si="3"/>
        <v>Valid</v>
      </c>
      <c r="Z197" s="2"/>
      <c r="AA197" s="2"/>
      <c r="AB197" s="2"/>
      <c r="AC197" s="2"/>
    </row>
    <row r="198" spans="1:29" ht="34.5" x14ac:dyDescent="0.35">
      <c r="A198" s="18" t="s">
        <v>68</v>
      </c>
      <c r="B198" s="14" t="s">
        <v>21</v>
      </c>
      <c r="C198" s="23" t="s">
        <v>387</v>
      </c>
      <c r="D198" s="24">
        <v>1</v>
      </c>
      <c r="E198" s="16">
        <v>3.3146929996040055E-2</v>
      </c>
      <c r="F198" s="25" t="s">
        <v>449</v>
      </c>
      <c r="G198" s="16">
        <v>5.7654047161784169E-2</v>
      </c>
      <c r="H198" s="25" t="s">
        <v>202</v>
      </c>
      <c r="I198" s="25" t="s">
        <v>256</v>
      </c>
      <c r="J198" s="25" t="s">
        <v>180</v>
      </c>
      <c r="K198" s="25" t="s">
        <v>231</v>
      </c>
      <c r="L198" s="25" t="s">
        <v>449</v>
      </c>
      <c r="M198" s="25" t="s">
        <v>306</v>
      </c>
      <c r="N198" s="25" t="s">
        <v>450</v>
      </c>
      <c r="O198" s="25" t="s">
        <v>205</v>
      </c>
      <c r="P198" s="25" t="s">
        <v>381</v>
      </c>
      <c r="Q198" s="25" t="s">
        <v>312</v>
      </c>
      <c r="R198" s="25" t="s">
        <v>181</v>
      </c>
      <c r="S198" s="25" t="s">
        <v>294</v>
      </c>
      <c r="T198" s="26" t="s">
        <v>451</v>
      </c>
      <c r="U198" s="2"/>
      <c r="V198" s="37" t="str" cm="1">
        <f t="array" ref="V198">INDEX(A:A, (ROW()*3)-(ROW($V$195)*2))</f>
        <v>KK4</v>
      </c>
      <c r="W198" s="37" t="str" cm="1">
        <f t="array" ref="W198">INDEX(T:T, (ROW()*3)-(ROW($V$195)*2))</f>
        <v>0,503**</v>
      </c>
      <c r="X198" s="39" cm="1">
        <f t="array" ref="X198">INDEX(T:T, (ROW()*3)-(ROW($V$195)*2)+1)</f>
        <v>2.8909838087642912E-15</v>
      </c>
      <c r="Y198" s="37" t="str">
        <f t="shared" si="3"/>
        <v>Valid</v>
      </c>
      <c r="Z198" s="2"/>
      <c r="AA198" s="2"/>
      <c r="AB198" s="2"/>
      <c r="AC198" s="2"/>
    </row>
    <row r="199" spans="1:29" ht="23" x14ac:dyDescent="0.35">
      <c r="A199" s="13"/>
      <c r="B199" s="14" t="s">
        <v>22</v>
      </c>
      <c r="C199" s="27">
        <v>2.8064673840437436E-7</v>
      </c>
      <c r="D199" s="28"/>
      <c r="E199" s="16">
        <v>0.62805603061142978</v>
      </c>
      <c r="F199" s="16">
        <v>4.6091914753975814E-4</v>
      </c>
      <c r="G199" s="16">
        <v>0.39915972523021503</v>
      </c>
      <c r="H199" s="16">
        <v>7.8639730284000359E-7</v>
      </c>
      <c r="I199" s="16">
        <v>5.3381570194988247E-5</v>
      </c>
      <c r="J199" s="16">
        <v>7.658092411740096E-3</v>
      </c>
      <c r="K199" s="16">
        <v>7.3198395574302792E-6</v>
      </c>
      <c r="L199" s="16">
        <v>4.6072172759126071E-4</v>
      </c>
      <c r="M199" s="16">
        <v>1.0745848833934068E-9</v>
      </c>
      <c r="N199" s="16">
        <v>2.000568162670519E-8</v>
      </c>
      <c r="O199" s="16">
        <v>3.4035665461235552E-4</v>
      </c>
      <c r="P199" s="16">
        <v>1.5653000826253732E-2</v>
      </c>
      <c r="Q199" s="16">
        <v>1.1034612805976824E-4</v>
      </c>
      <c r="R199" s="16">
        <v>3.7117019537068575E-5</v>
      </c>
      <c r="S199" s="16">
        <v>1.1505883342093461E-5</v>
      </c>
      <c r="T199" s="17">
        <v>9.9912300781073355E-24</v>
      </c>
      <c r="U199" s="2"/>
      <c r="V199" s="37" t="str" cm="1">
        <f t="array" ref="V199">INDEX(A:A, (ROW()*3)-(ROW($V$195)*2))</f>
        <v>KK5</v>
      </c>
      <c r="W199" s="37" t="str" cm="1">
        <f t="array" ref="W199">INDEX(T:T, (ROW()*3)-(ROW($V$195)*2))</f>
        <v>0,506**</v>
      </c>
      <c r="X199" s="39" cm="1">
        <f t="array" ref="X199">INDEX(T:T, (ROW()*3)-(ROW($V$195)*2)+1)</f>
        <v>2.0481970537225054E-15</v>
      </c>
      <c r="Y199" s="37" t="str">
        <f t="shared" si="3"/>
        <v>Valid</v>
      </c>
      <c r="Z199" s="2"/>
      <c r="AA199" s="2"/>
      <c r="AB199" s="2"/>
      <c r="AC199" s="2"/>
    </row>
    <row r="200" spans="1:29" x14ac:dyDescent="0.35">
      <c r="A200" s="18"/>
      <c r="B200" s="19" t="s">
        <v>23</v>
      </c>
      <c r="C200" s="20">
        <v>216</v>
      </c>
      <c r="D200" s="21">
        <v>216</v>
      </c>
      <c r="E200" s="21">
        <v>216</v>
      </c>
      <c r="F200" s="21">
        <v>216</v>
      </c>
      <c r="G200" s="21">
        <v>216</v>
      </c>
      <c r="H200" s="21">
        <v>216</v>
      </c>
      <c r="I200" s="21">
        <v>216</v>
      </c>
      <c r="J200" s="21">
        <v>216</v>
      </c>
      <c r="K200" s="21">
        <v>216</v>
      </c>
      <c r="L200" s="21">
        <v>216</v>
      </c>
      <c r="M200" s="21">
        <v>216</v>
      </c>
      <c r="N200" s="21">
        <v>216</v>
      </c>
      <c r="O200" s="21">
        <v>216</v>
      </c>
      <c r="P200" s="21">
        <v>216</v>
      </c>
      <c r="Q200" s="21">
        <v>216</v>
      </c>
      <c r="R200" s="21">
        <v>216</v>
      </c>
      <c r="S200" s="21">
        <v>216</v>
      </c>
      <c r="T200" s="22">
        <v>216</v>
      </c>
      <c r="U200" s="2"/>
      <c r="V200" s="37" t="str" cm="1">
        <f t="array" ref="V200">INDEX(A:A, (ROW()*3)-(ROW($V$195)*2))</f>
        <v>KK6</v>
      </c>
      <c r="W200" s="37" t="str" cm="1">
        <f t="array" ref="W200">INDEX(T:T, (ROW()*3)-(ROW($V$195)*2))</f>
        <v>0,520**</v>
      </c>
      <c r="X200" s="39" cm="1">
        <f t="array" ref="X200">INDEX(T:T, (ROW()*3)-(ROW($V$195)*2)+1)</f>
        <v>2.2763638467314514E-16</v>
      </c>
      <c r="Y200" s="37" t="str">
        <f t="shared" si="3"/>
        <v>Valid</v>
      </c>
      <c r="Z200" s="2"/>
      <c r="AA200" s="2"/>
      <c r="AB200" s="2"/>
      <c r="AC200" s="2"/>
    </row>
    <row r="201" spans="1:29" ht="34.5" x14ac:dyDescent="0.35">
      <c r="A201" s="18" t="s">
        <v>69</v>
      </c>
      <c r="B201" s="14" t="s">
        <v>21</v>
      </c>
      <c r="C201" s="23" t="s">
        <v>216</v>
      </c>
      <c r="D201" s="16">
        <v>3.3146929996040055E-2</v>
      </c>
      <c r="E201" s="24">
        <v>1</v>
      </c>
      <c r="F201" s="16">
        <v>0.10490629870379074</v>
      </c>
      <c r="G201" s="25" t="s">
        <v>452</v>
      </c>
      <c r="H201" s="25" t="s">
        <v>453</v>
      </c>
      <c r="I201" s="16">
        <v>7.2135126094411195E-2</v>
      </c>
      <c r="J201" s="25" t="s">
        <v>331</v>
      </c>
      <c r="K201" s="25" t="s">
        <v>277</v>
      </c>
      <c r="L201" s="25" t="s">
        <v>144</v>
      </c>
      <c r="M201" s="16">
        <v>6.8909966411294279E-2</v>
      </c>
      <c r="N201" s="16">
        <v>8.193097513428263E-2</v>
      </c>
      <c r="O201" s="25" t="s">
        <v>385</v>
      </c>
      <c r="P201" s="25" t="s">
        <v>200</v>
      </c>
      <c r="Q201" s="16">
        <v>0.13204166571933867</v>
      </c>
      <c r="R201" s="25" t="s">
        <v>210</v>
      </c>
      <c r="S201" s="25" t="s">
        <v>377</v>
      </c>
      <c r="T201" s="26" t="s">
        <v>319</v>
      </c>
      <c r="U201" s="2"/>
      <c r="V201" s="37" t="str" cm="1">
        <f t="array" ref="V201">INDEX(A:A, (ROW()*3)-(ROW($V$195)*2))</f>
        <v>KK7</v>
      </c>
      <c r="W201" s="37" t="str" cm="1">
        <f t="array" ref="W201">INDEX(T:T, (ROW()*3)-(ROW($V$195)*2))</f>
        <v>0,465**</v>
      </c>
      <c r="X201" s="39" cm="1">
        <f t="array" ref="X201">INDEX(T:T, (ROW()*3)-(ROW($V$195)*2)+1)</f>
        <v>5.4293870500541162E-13</v>
      </c>
      <c r="Y201" s="37" t="str">
        <f t="shared" si="3"/>
        <v>Valid</v>
      </c>
      <c r="Z201" s="2"/>
      <c r="AA201" s="2"/>
      <c r="AB201" s="2"/>
      <c r="AC201" s="2"/>
    </row>
    <row r="202" spans="1:29" ht="23" x14ac:dyDescent="0.35">
      <c r="A202" s="13"/>
      <c r="B202" s="14" t="s">
        <v>22</v>
      </c>
      <c r="C202" s="27">
        <v>8.6519128602533199E-11</v>
      </c>
      <c r="D202" s="16">
        <v>0.62805603061142978</v>
      </c>
      <c r="E202" s="28"/>
      <c r="F202" s="16">
        <v>0.12426895254980867</v>
      </c>
      <c r="G202" s="16">
        <v>3.3552629017671269E-107</v>
      </c>
      <c r="H202" s="16">
        <v>1.0023448550845422E-2</v>
      </c>
      <c r="I202" s="16">
        <v>0.29124725480235936</v>
      </c>
      <c r="J202" s="16">
        <v>2.5762193000344073E-3</v>
      </c>
      <c r="K202" s="16">
        <v>1.9581244425426556E-2</v>
      </c>
      <c r="L202" s="16">
        <v>2.2567905583945988E-4</v>
      </c>
      <c r="M202" s="16">
        <v>0.31341230267801945</v>
      </c>
      <c r="N202" s="16">
        <v>0.23046393606159774</v>
      </c>
      <c r="O202" s="16">
        <v>1.3961768209821151E-2</v>
      </c>
      <c r="P202" s="16">
        <v>2.2157921538050955E-2</v>
      </c>
      <c r="Q202" s="16">
        <v>5.2642616754127659E-2</v>
      </c>
      <c r="R202" s="16">
        <v>1.9670812139895057E-3</v>
      </c>
      <c r="S202" s="16">
        <v>5.2685492056472264E-4</v>
      </c>
      <c r="T202" s="17">
        <v>3.7435885437612534E-13</v>
      </c>
      <c r="U202" s="2"/>
      <c r="V202" s="37" t="str" cm="1">
        <f t="array" ref="V202">INDEX(A:A, (ROW()*3)-(ROW($V$195)*2))</f>
        <v>KK8</v>
      </c>
      <c r="W202" s="37" t="str" cm="1">
        <f t="array" ref="W202">INDEX(T:T, (ROW()*3)-(ROW($V$195)*2))</f>
        <v>0,468**</v>
      </c>
      <c r="X202" s="39" cm="1">
        <f t="array" ref="X202">INDEX(T:T, (ROW()*3)-(ROW($V$195)*2)+1)</f>
        <v>3.7009728042966999E-13</v>
      </c>
      <c r="Y202" s="37" t="str">
        <f t="shared" si="3"/>
        <v>Valid</v>
      </c>
      <c r="Z202" s="2"/>
      <c r="AA202" s="2"/>
      <c r="AB202" s="2"/>
      <c r="AC202" s="2"/>
    </row>
    <row r="203" spans="1:29" x14ac:dyDescent="0.35">
      <c r="A203" s="18"/>
      <c r="B203" s="19" t="s">
        <v>23</v>
      </c>
      <c r="C203" s="20">
        <v>216</v>
      </c>
      <c r="D203" s="21">
        <v>216</v>
      </c>
      <c r="E203" s="21">
        <v>216</v>
      </c>
      <c r="F203" s="21">
        <v>216</v>
      </c>
      <c r="G203" s="21">
        <v>216</v>
      </c>
      <c r="H203" s="21">
        <v>216</v>
      </c>
      <c r="I203" s="21">
        <v>216</v>
      </c>
      <c r="J203" s="21">
        <v>216</v>
      </c>
      <c r="K203" s="21">
        <v>216</v>
      </c>
      <c r="L203" s="21">
        <v>216</v>
      </c>
      <c r="M203" s="21">
        <v>216</v>
      </c>
      <c r="N203" s="21">
        <v>216</v>
      </c>
      <c r="O203" s="21">
        <v>216</v>
      </c>
      <c r="P203" s="21">
        <v>216</v>
      </c>
      <c r="Q203" s="21">
        <v>216</v>
      </c>
      <c r="R203" s="21">
        <v>216</v>
      </c>
      <c r="S203" s="21">
        <v>216</v>
      </c>
      <c r="T203" s="22">
        <v>216</v>
      </c>
      <c r="U203" s="2"/>
      <c r="V203" s="37" t="str" cm="1">
        <f t="array" ref="V203">INDEX(A:A, (ROW()*3)-(ROW($V$195)*2))</f>
        <v>KK9</v>
      </c>
      <c r="W203" s="37" t="str" cm="1">
        <f t="array" ref="W203">INDEX(T:T, (ROW()*3)-(ROW($V$195)*2))</f>
        <v>0,465**</v>
      </c>
      <c r="X203" s="39" cm="1">
        <f t="array" ref="X203">INDEX(T:T, (ROW()*3)-(ROW($V$195)*2)+1)</f>
        <v>5.1869349501804181E-13</v>
      </c>
      <c r="Y203" s="37" t="str">
        <f t="shared" si="3"/>
        <v>Valid</v>
      </c>
      <c r="Z203" s="2"/>
      <c r="AA203" s="2"/>
      <c r="AB203" s="2"/>
      <c r="AC203" s="2"/>
    </row>
    <row r="204" spans="1:29" ht="34.5" x14ac:dyDescent="0.35">
      <c r="A204" s="18" t="s">
        <v>70</v>
      </c>
      <c r="B204" s="14" t="s">
        <v>21</v>
      </c>
      <c r="C204" s="27">
        <v>-8.8509126462915245E-3</v>
      </c>
      <c r="D204" s="25" t="s">
        <v>449</v>
      </c>
      <c r="E204" s="16">
        <v>0.10490629870379074</v>
      </c>
      <c r="F204" s="24">
        <v>1</v>
      </c>
      <c r="G204" s="25" t="s">
        <v>332</v>
      </c>
      <c r="H204" s="16">
        <v>8.5995143517291234E-2</v>
      </c>
      <c r="I204" s="25" t="s">
        <v>143</v>
      </c>
      <c r="J204" s="25" t="s">
        <v>201</v>
      </c>
      <c r="K204" s="25" t="s">
        <v>454</v>
      </c>
      <c r="L204" s="25" t="s">
        <v>455</v>
      </c>
      <c r="M204" s="25" t="s">
        <v>193</v>
      </c>
      <c r="N204" s="25" t="s">
        <v>196</v>
      </c>
      <c r="O204" s="25" t="s">
        <v>135</v>
      </c>
      <c r="P204" s="25" t="s">
        <v>456</v>
      </c>
      <c r="Q204" s="25" t="s">
        <v>378</v>
      </c>
      <c r="R204" s="25" t="s">
        <v>312</v>
      </c>
      <c r="S204" s="16">
        <v>0.1009535615325545</v>
      </c>
      <c r="T204" s="26" t="s">
        <v>285</v>
      </c>
      <c r="U204" s="2"/>
      <c r="V204" s="37" t="str" cm="1">
        <f t="array" ref="V204">INDEX(A:A, (ROW()*3)-(ROW($V$195)*2))</f>
        <v>KK10</v>
      </c>
      <c r="W204" s="37" t="str" cm="1">
        <f t="array" ref="W204">INDEX(T:T, (ROW()*3)-(ROW($V$195)*2))</f>
        <v>0,511**</v>
      </c>
      <c r="X204" s="39" cm="1">
        <f t="array" ref="X204">INDEX(T:T, (ROW()*3)-(ROW($V$195)*2)+1)</f>
        <v>9.7362946108247839E-16</v>
      </c>
      <c r="Y204" s="37" t="str">
        <f t="shared" si="3"/>
        <v>Valid</v>
      </c>
      <c r="Z204" s="2"/>
      <c r="AA204" s="2"/>
      <c r="AB204" s="2"/>
      <c r="AC204" s="2"/>
    </row>
    <row r="205" spans="1:29" ht="23" x14ac:dyDescent="0.35">
      <c r="A205" s="13"/>
      <c r="B205" s="14" t="s">
        <v>22</v>
      </c>
      <c r="C205" s="27">
        <v>0.89709728320388327</v>
      </c>
      <c r="D205" s="16">
        <v>4.6091914753975814E-4</v>
      </c>
      <c r="E205" s="16">
        <v>0.12426895254980867</v>
      </c>
      <c r="F205" s="28"/>
      <c r="G205" s="16">
        <v>1.4984456114202672E-2</v>
      </c>
      <c r="H205" s="16">
        <v>0.20807907548309346</v>
      </c>
      <c r="I205" s="16">
        <v>2.9044688061584666E-4</v>
      </c>
      <c r="J205" s="16">
        <v>4.3245273730184323E-2</v>
      </c>
      <c r="K205" s="16">
        <v>2.6093390546549069E-7</v>
      </c>
      <c r="L205" s="16">
        <v>4.5833318753022677E-3</v>
      </c>
      <c r="M205" s="16">
        <v>6.8290181427912941E-6</v>
      </c>
      <c r="N205" s="16">
        <v>1.0958356773389306E-2</v>
      </c>
      <c r="O205" s="16">
        <v>6.770426612673708E-10</v>
      </c>
      <c r="P205" s="16">
        <v>2.6382080454537471E-5</v>
      </c>
      <c r="Q205" s="16">
        <v>5.7968028531739245E-5</v>
      </c>
      <c r="R205" s="16">
        <v>1.0893036752430717E-4</v>
      </c>
      <c r="S205" s="16">
        <v>0.13917243715612901</v>
      </c>
      <c r="T205" s="17">
        <v>2.8909838087642912E-15</v>
      </c>
      <c r="U205" s="2"/>
      <c r="V205" s="37" t="str" cm="1">
        <f t="array" ref="V205">INDEX(A:A, (ROW()*3)-(ROW($V$195)*2))</f>
        <v>KK11</v>
      </c>
      <c r="W205" s="37" t="str" cm="1">
        <f t="array" ref="W205">INDEX(T:T, (ROW()*3)-(ROW($V$195)*2))</f>
        <v>0,572**</v>
      </c>
      <c r="X205" s="39" cm="1">
        <f t="array" ref="X205">INDEX(T:T, (ROW()*3)-(ROW($V$195)*2)+1)</f>
        <v>3.5978016370884241E-20</v>
      </c>
      <c r="Y205" s="37" t="str">
        <f t="shared" si="3"/>
        <v>Valid</v>
      </c>
      <c r="Z205" s="2"/>
      <c r="AA205" s="2"/>
      <c r="AB205" s="2"/>
      <c r="AC205" s="2"/>
    </row>
    <row r="206" spans="1:29" x14ac:dyDescent="0.35">
      <c r="A206" s="18"/>
      <c r="B206" s="19" t="s">
        <v>23</v>
      </c>
      <c r="C206" s="20">
        <v>216</v>
      </c>
      <c r="D206" s="21">
        <v>216</v>
      </c>
      <c r="E206" s="21">
        <v>216</v>
      </c>
      <c r="F206" s="21">
        <v>216</v>
      </c>
      <c r="G206" s="21">
        <v>216</v>
      </c>
      <c r="H206" s="21">
        <v>216</v>
      </c>
      <c r="I206" s="21">
        <v>216</v>
      </c>
      <c r="J206" s="21">
        <v>216</v>
      </c>
      <c r="K206" s="21">
        <v>216</v>
      </c>
      <c r="L206" s="21">
        <v>216</v>
      </c>
      <c r="M206" s="21">
        <v>216</v>
      </c>
      <c r="N206" s="21">
        <v>216</v>
      </c>
      <c r="O206" s="21">
        <v>216</v>
      </c>
      <c r="P206" s="21">
        <v>216</v>
      </c>
      <c r="Q206" s="21">
        <v>216</v>
      </c>
      <c r="R206" s="21">
        <v>216</v>
      </c>
      <c r="S206" s="21">
        <v>216</v>
      </c>
      <c r="T206" s="22">
        <v>216</v>
      </c>
      <c r="U206" s="2"/>
      <c r="V206" s="37" t="str" cm="1">
        <f t="array" ref="V206">INDEX(A:A, (ROW()*3)-(ROW($V$195)*2))</f>
        <v>KK12</v>
      </c>
      <c r="W206" s="37" t="str" cm="1">
        <f t="array" ref="W206">INDEX(T:T, (ROW()*3)-(ROW($V$195)*2))</f>
        <v>0,500**</v>
      </c>
      <c r="X206" s="39" cm="1">
        <f t="array" ref="X206">INDEX(T:T, (ROW()*3)-(ROW($V$195)*2)+1)</f>
        <v>4.5397255145404177E-15</v>
      </c>
      <c r="Y206" s="37" t="str">
        <f t="shared" si="3"/>
        <v>Valid</v>
      </c>
      <c r="Z206" s="2"/>
      <c r="AA206" s="2"/>
      <c r="AB206" s="2"/>
      <c r="AC206" s="2"/>
    </row>
    <row r="207" spans="1:29" ht="34.5" x14ac:dyDescent="0.35">
      <c r="A207" s="18" t="s">
        <v>71</v>
      </c>
      <c r="B207" s="14" t="s">
        <v>21</v>
      </c>
      <c r="C207" s="23" t="s">
        <v>447</v>
      </c>
      <c r="D207" s="16">
        <v>5.7654047161784169E-2</v>
      </c>
      <c r="E207" s="25" t="s">
        <v>452</v>
      </c>
      <c r="F207" s="25" t="s">
        <v>332</v>
      </c>
      <c r="G207" s="24">
        <v>1</v>
      </c>
      <c r="H207" s="25" t="s">
        <v>404</v>
      </c>
      <c r="I207" s="16">
        <v>9.4776223762952472E-2</v>
      </c>
      <c r="J207" s="25" t="s">
        <v>457</v>
      </c>
      <c r="K207" s="25" t="s">
        <v>332</v>
      </c>
      <c r="L207" s="25" t="s">
        <v>271</v>
      </c>
      <c r="M207" s="16">
        <v>0.10675395244827511</v>
      </c>
      <c r="N207" s="25" t="s">
        <v>296</v>
      </c>
      <c r="O207" s="25" t="s">
        <v>458</v>
      </c>
      <c r="P207" s="25" t="s">
        <v>199</v>
      </c>
      <c r="Q207" s="25" t="s">
        <v>344</v>
      </c>
      <c r="R207" s="25" t="s">
        <v>256</v>
      </c>
      <c r="S207" s="25" t="s">
        <v>397</v>
      </c>
      <c r="T207" s="26" t="s">
        <v>459</v>
      </c>
      <c r="U207" s="2"/>
      <c r="V207" s="37" t="str" cm="1">
        <f t="array" ref="V207">INDEX(A:A, (ROW()*3)-(ROW($V$195)*2))</f>
        <v>KK13</v>
      </c>
      <c r="W207" s="37" t="str" cm="1">
        <f t="array" ref="W207">INDEX(T:T, (ROW()*3)-(ROW($V$195)*2))</f>
        <v>0,485**</v>
      </c>
      <c r="X207" s="39" cm="1">
        <f t="array" ref="X207">INDEX(T:T, (ROW()*3)-(ROW($V$195)*2)+1)</f>
        <v>3.8448960759217394E-14</v>
      </c>
      <c r="Y207" s="37" t="str">
        <f t="shared" si="3"/>
        <v>Valid</v>
      </c>
      <c r="Z207" s="2"/>
      <c r="AA207" s="2"/>
      <c r="AB207" s="2"/>
      <c r="AC207" s="2"/>
    </row>
    <row r="208" spans="1:29" ht="23" x14ac:dyDescent="0.35">
      <c r="A208" s="13"/>
      <c r="B208" s="14" t="s">
        <v>22</v>
      </c>
      <c r="C208" s="27">
        <v>9.0244682482066689E-9</v>
      </c>
      <c r="D208" s="16">
        <v>0.39915972523021503</v>
      </c>
      <c r="E208" s="16">
        <v>3.3552629017671269E-107</v>
      </c>
      <c r="F208" s="16">
        <v>1.4984456114202672E-2</v>
      </c>
      <c r="G208" s="28"/>
      <c r="H208" s="16">
        <v>1.455066370079504E-2</v>
      </c>
      <c r="I208" s="16">
        <v>0.16514795650641287</v>
      </c>
      <c r="J208" s="16">
        <v>5.4008748434174912E-3</v>
      </c>
      <c r="K208" s="16">
        <v>1.4960483332260221E-2</v>
      </c>
      <c r="L208" s="16">
        <v>7.3880927226614224E-4</v>
      </c>
      <c r="M208" s="16">
        <v>0.11774104128916558</v>
      </c>
      <c r="N208" s="16">
        <v>6.3865910433404333E-3</v>
      </c>
      <c r="O208" s="16">
        <v>2.9059475345552976E-2</v>
      </c>
      <c r="P208" s="16">
        <v>3.2969803288282894E-3</v>
      </c>
      <c r="Q208" s="16">
        <v>8.659941896297832E-3</v>
      </c>
      <c r="R208" s="16">
        <v>5.3987147636426708E-5</v>
      </c>
      <c r="S208" s="16">
        <v>1.4272180738328201E-4</v>
      </c>
      <c r="T208" s="17">
        <v>2.0481970537225054E-15</v>
      </c>
      <c r="U208" s="2"/>
      <c r="V208" s="37" t="str" cm="1">
        <f t="array" ref="V208">INDEX(A:A, (ROW()*3)-(ROW($V$195)*2))</f>
        <v>KK14</v>
      </c>
      <c r="W208" s="37" t="str" cm="1">
        <f t="array" ref="W208">INDEX(T:T, (ROW()*3)-(ROW($V$195)*2))</f>
        <v>0,513**</v>
      </c>
      <c r="X208" s="39" cm="1">
        <f t="array" ref="X208">INDEX(T:T, (ROW()*3)-(ROW($V$195)*2)+1)</f>
        <v>7.0955359992303114E-16</v>
      </c>
      <c r="Y208" s="37" t="str">
        <f t="shared" si="3"/>
        <v>Valid</v>
      </c>
      <c r="Z208" s="2"/>
      <c r="AA208" s="2"/>
      <c r="AB208" s="2"/>
      <c r="AC208" s="2"/>
    </row>
    <row r="209" spans="1:29" x14ac:dyDescent="0.35">
      <c r="A209" s="18"/>
      <c r="B209" s="19" t="s">
        <v>23</v>
      </c>
      <c r="C209" s="20">
        <v>216</v>
      </c>
      <c r="D209" s="21">
        <v>216</v>
      </c>
      <c r="E209" s="21">
        <v>216</v>
      </c>
      <c r="F209" s="21">
        <v>216</v>
      </c>
      <c r="G209" s="21">
        <v>216</v>
      </c>
      <c r="H209" s="21">
        <v>216</v>
      </c>
      <c r="I209" s="21">
        <v>216</v>
      </c>
      <c r="J209" s="21">
        <v>216</v>
      </c>
      <c r="K209" s="21">
        <v>216</v>
      </c>
      <c r="L209" s="21">
        <v>216</v>
      </c>
      <c r="M209" s="21">
        <v>216</v>
      </c>
      <c r="N209" s="21">
        <v>216</v>
      </c>
      <c r="O209" s="21">
        <v>216</v>
      </c>
      <c r="P209" s="21">
        <v>216</v>
      </c>
      <c r="Q209" s="21">
        <v>216</v>
      </c>
      <c r="R209" s="21">
        <v>216</v>
      </c>
      <c r="S209" s="21">
        <v>216</v>
      </c>
      <c r="T209" s="22">
        <v>216</v>
      </c>
      <c r="U209" s="2"/>
      <c r="V209" s="37" t="str" cm="1">
        <f t="array" ref="V209">INDEX(A:A, (ROW()*3)-(ROW($V$195)*2))</f>
        <v>KK15</v>
      </c>
      <c r="W209" s="37" t="str" cm="1">
        <f t="array" ref="W209">INDEX(T:T, (ROW()*3)-(ROW($V$195)*2))</f>
        <v>0,430**</v>
      </c>
      <c r="X209" s="39" cm="1">
        <f t="array" ref="X209">INDEX(T:T, (ROW()*3)-(ROW($V$195)*2)+1)</f>
        <v>4.0390060133446203E-11</v>
      </c>
      <c r="Y209" s="37" t="str">
        <f t="shared" si="3"/>
        <v>Valid</v>
      </c>
      <c r="Z209" s="2"/>
      <c r="AA209" s="2"/>
      <c r="AB209" s="2"/>
      <c r="AC209" s="2"/>
    </row>
    <row r="210" spans="1:29" ht="34.5" x14ac:dyDescent="0.35">
      <c r="A210" s="18" t="s">
        <v>72</v>
      </c>
      <c r="B210" s="14" t="s">
        <v>21</v>
      </c>
      <c r="C210" s="23" t="s">
        <v>282</v>
      </c>
      <c r="D210" s="25" t="s">
        <v>202</v>
      </c>
      <c r="E210" s="25" t="s">
        <v>453</v>
      </c>
      <c r="F210" s="16">
        <v>8.5995143517291234E-2</v>
      </c>
      <c r="G210" s="25" t="s">
        <v>404</v>
      </c>
      <c r="H210" s="24">
        <v>1</v>
      </c>
      <c r="I210" s="25" t="s">
        <v>460</v>
      </c>
      <c r="J210" s="25" t="s">
        <v>191</v>
      </c>
      <c r="K210" s="16">
        <v>0.12038410161303044</v>
      </c>
      <c r="L210" s="25" t="s">
        <v>461</v>
      </c>
      <c r="M210" s="25" t="s">
        <v>462</v>
      </c>
      <c r="N210" s="25" t="s">
        <v>291</v>
      </c>
      <c r="O210" s="16">
        <v>8.4354901153343209E-2</v>
      </c>
      <c r="P210" s="25" t="s">
        <v>379</v>
      </c>
      <c r="Q210" s="16">
        <v>0.12567924404450409</v>
      </c>
      <c r="R210" s="25" t="s">
        <v>456</v>
      </c>
      <c r="S210" s="25" t="s">
        <v>422</v>
      </c>
      <c r="T210" s="26" t="s">
        <v>463</v>
      </c>
      <c r="U210" s="2"/>
      <c r="V210" s="37" t="str" cm="1">
        <f t="array" ref="V210">INDEX(A:A, (ROW()*3)-(ROW($V$195)*2))</f>
        <v>KK16</v>
      </c>
      <c r="W210" s="37" t="str" cm="1">
        <f t="array" ref="W210">INDEX(T:T, (ROW()*3)-(ROW($V$195)*2))</f>
        <v>0,517**</v>
      </c>
      <c r="X210" s="39" cm="1">
        <f t="array" ref="X210">INDEX(T:T, (ROW()*3)-(ROW($V$195)*2)+1)</f>
        <v>3.4431244072681504E-16</v>
      </c>
      <c r="Y210" s="37" t="str">
        <f t="shared" si="3"/>
        <v>Valid</v>
      </c>
      <c r="Z210" s="2"/>
      <c r="AA210" s="2"/>
      <c r="AB210" s="2"/>
      <c r="AC210" s="2"/>
    </row>
    <row r="211" spans="1:29" ht="23" x14ac:dyDescent="0.35">
      <c r="A211" s="13"/>
      <c r="B211" s="14" t="s">
        <v>22</v>
      </c>
      <c r="C211" s="27">
        <v>2.8082698335381131E-3</v>
      </c>
      <c r="D211" s="16">
        <v>7.8639730284000359E-7</v>
      </c>
      <c r="E211" s="16">
        <v>1.0023448550845422E-2</v>
      </c>
      <c r="F211" s="16">
        <v>0.20807907548309346</v>
      </c>
      <c r="G211" s="16">
        <v>1.455066370079504E-2</v>
      </c>
      <c r="H211" s="28"/>
      <c r="I211" s="16">
        <v>1.2348014539674171E-2</v>
      </c>
      <c r="J211" s="16">
        <v>1.9234764314522546E-6</v>
      </c>
      <c r="K211" s="16">
        <v>7.7490257094431622E-2</v>
      </c>
      <c r="L211" s="16">
        <v>6.6307032164583126E-4</v>
      </c>
      <c r="M211" s="16">
        <v>8.344643630573924E-8</v>
      </c>
      <c r="N211" s="16">
        <v>6.3678770848502702E-6</v>
      </c>
      <c r="O211" s="16">
        <v>0.2169172030554033</v>
      </c>
      <c r="P211" s="16">
        <v>3.9790086722622141E-4</v>
      </c>
      <c r="Q211" s="16">
        <v>6.5226960488094829E-2</v>
      </c>
      <c r="R211" s="16">
        <v>2.5620896634183962E-5</v>
      </c>
      <c r="S211" s="16">
        <v>3.8270862119263068E-5</v>
      </c>
      <c r="T211" s="17">
        <v>2.2763638467314514E-16</v>
      </c>
      <c r="U211" s="2"/>
      <c r="V211" s="37" t="str" cm="1">
        <f t="array" ref="V211">INDEX(A:A, (ROW()*3)-(ROW($V$195)*2))</f>
        <v>KK17</v>
      </c>
      <c r="W211" s="37" t="str" cm="1">
        <f t="array" ref="W211">INDEX(T:T, (ROW()*3)-(ROW($V$195)*2))</f>
        <v>0,538**</v>
      </c>
      <c r="X211" s="39" cm="1">
        <f t="array" ref="X211">INDEX(T:T, (ROW()*3)-(ROW($V$195)*2)+1)</f>
        <v>1.4195474294178991E-17</v>
      </c>
      <c r="Y211" s="37" t="str">
        <f t="shared" si="3"/>
        <v>Valid</v>
      </c>
      <c r="Z211" s="2"/>
      <c r="AA211" s="2"/>
      <c r="AB211" s="2"/>
      <c r="AC211" s="2"/>
    </row>
    <row r="212" spans="1:29" x14ac:dyDescent="0.35">
      <c r="A212" s="18"/>
      <c r="B212" s="19" t="s">
        <v>23</v>
      </c>
      <c r="C212" s="20">
        <v>216</v>
      </c>
      <c r="D212" s="21">
        <v>216</v>
      </c>
      <c r="E212" s="21">
        <v>216</v>
      </c>
      <c r="F212" s="21">
        <v>216</v>
      </c>
      <c r="G212" s="21">
        <v>216</v>
      </c>
      <c r="H212" s="21">
        <v>216</v>
      </c>
      <c r="I212" s="21">
        <v>216</v>
      </c>
      <c r="J212" s="21">
        <v>216</v>
      </c>
      <c r="K212" s="21">
        <v>216</v>
      </c>
      <c r="L212" s="21">
        <v>216</v>
      </c>
      <c r="M212" s="21">
        <v>216</v>
      </c>
      <c r="N212" s="21">
        <v>216</v>
      </c>
      <c r="O212" s="21">
        <v>216</v>
      </c>
      <c r="P212" s="21">
        <v>216</v>
      </c>
      <c r="Q212" s="21">
        <v>216</v>
      </c>
      <c r="R212" s="21">
        <v>216</v>
      </c>
      <c r="S212" s="21">
        <v>216</v>
      </c>
      <c r="T212" s="22">
        <v>216</v>
      </c>
      <c r="U212" s="2"/>
      <c r="V212" s="2"/>
      <c r="W212" s="2"/>
      <c r="X212" s="2"/>
      <c r="Y212" s="2"/>
    </row>
    <row r="213" spans="1:29" ht="34.5" x14ac:dyDescent="0.35">
      <c r="A213" s="18" t="s">
        <v>73</v>
      </c>
      <c r="B213" s="14" t="s">
        <v>21</v>
      </c>
      <c r="C213" s="27">
        <v>0.10801563073974206</v>
      </c>
      <c r="D213" s="25" t="s">
        <v>256</v>
      </c>
      <c r="E213" s="16">
        <v>7.2135126094411195E-2</v>
      </c>
      <c r="F213" s="25" t="s">
        <v>143</v>
      </c>
      <c r="G213" s="16">
        <v>9.4776223762952472E-2</v>
      </c>
      <c r="H213" s="25" t="s">
        <v>460</v>
      </c>
      <c r="I213" s="24">
        <v>1</v>
      </c>
      <c r="J213" s="25" t="s">
        <v>144</v>
      </c>
      <c r="K213" s="25" t="s">
        <v>399</v>
      </c>
      <c r="L213" s="16">
        <v>5.4047600746947255E-2</v>
      </c>
      <c r="M213" s="25" t="s">
        <v>160</v>
      </c>
      <c r="N213" s="25" t="s">
        <v>140</v>
      </c>
      <c r="O213" s="25" t="s">
        <v>177</v>
      </c>
      <c r="P213" s="16">
        <v>0.11890192020936637</v>
      </c>
      <c r="Q213" s="16">
        <v>8.030094731402812E-2</v>
      </c>
      <c r="R213" s="25" t="s">
        <v>460</v>
      </c>
      <c r="S213" s="25" t="s">
        <v>215</v>
      </c>
      <c r="T213" s="26" t="s">
        <v>309</v>
      </c>
      <c r="U213" s="2"/>
      <c r="V213" s="2"/>
      <c r="W213" s="2"/>
      <c r="X213" s="2"/>
      <c r="Y213" s="2"/>
    </row>
    <row r="214" spans="1:29" ht="23" x14ac:dyDescent="0.35">
      <c r="A214" s="13"/>
      <c r="B214" s="14" t="s">
        <v>22</v>
      </c>
      <c r="C214" s="27">
        <v>0.11343916524357459</v>
      </c>
      <c r="D214" s="16">
        <v>5.3381570194988247E-5</v>
      </c>
      <c r="E214" s="16">
        <v>0.29124725480235936</v>
      </c>
      <c r="F214" s="16">
        <v>2.9044688061584666E-4</v>
      </c>
      <c r="G214" s="16">
        <v>0.16514795650641287</v>
      </c>
      <c r="H214" s="16">
        <v>1.2348014539674171E-2</v>
      </c>
      <c r="I214" s="28"/>
      <c r="J214" s="16">
        <v>2.262728187068597E-4</v>
      </c>
      <c r="K214" s="16">
        <v>4.9335594662651702E-5</v>
      </c>
      <c r="L214" s="16">
        <v>0.42935084145027447</v>
      </c>
      <c r="M214" s="16">
        <v>1.9931387540369483E-4</v>
      </c>
      <c r="N214" s="16">
        <v>9.4228956828715441E-5</v>
      </c>
      <c r="O214" s="16">
        <v>4.3069658486829661E-7</v>
      </c>
      <c r="P214" s="16">
        <v>8.1238500700625771E-2</v>
      </c>
      <c r="Q214" s="16">
        <v>0.2399031372452034</v>
      </c>
      <c r="R214" s="16">
        <v>1.223889855933159E-2</v>
      </c>
      <c r="S214" s="16">
        <v>1.6967217100577209E-2</v>
      </c>
      <c r="T214" s="17">
        <v>5.4293870500541162E-13</v>
      </c>
      <c r="U214" s="2"/>
      <c r="V214" s="2"/>
      <c r="W214" s="2"/>
      <c r="X214" s="2"/>
      <c r="Y214" s="2"/>
    </row>
    <row r="215" spans="1:29" x14ac:dyDescent="0.35">
      <c r="A215" s="18"/>
      <c r="B215" s="19" t="s">
        <v>23</v>
      </c>
      <c r="C215" s="20">
        <v>216</v>
      </c>
      <c r="D215" s="21">
        <v>216</v>
      </c>
      <c r="E215" s="21">
        <v>216</v>
      </c>
      <c r="F215" s="21">
        <v>216</v>
      </c>
      <c r="G215" s="21">
        <v>216</v>
      </c>
      <c r="H215" s="21">
        <v>216</v>
      </c>
      <c r="I215" s="21">
        <v>216</v>
      </c>
      <c r="J215" s="21">
        <v>216</v>
      </c>
      <c r="K215" s="21">
        <v>216</v>
      </c>
      <c r="L215" s="21">
        <v>216</v>
      </c>
      <c r="M215" s="21">
        <v>216</v>
      </c>
      <c r="N215" s="21">
        <v>216</v>
      </c>
      <c r="O215" s="21">
        <v>216</v>
      </c>
      <c r="P215" s="21">
        <v>216</v>
      </c>
      <c r="Q215" s="21">
        <v>216</v>
      </c>
      <c r="R215" s="21">
        <v>216</v>
      </c>
      <c r="S215" s="21">
        <v>216</v>
      </c>
      <c r="T215" s="22">
        <v>216</v>
      </c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34.5" x14ac:dyDescent="0.35">
      <c r="A216" s="18" t="s">
        <v>74</v>
      </c>
      <c r="B216" s="14" t="s">
        <v>21</v>
      </c>
      <c r="C216" s="23" t="s">
        <v>448</v>
      </c>
      <c r="D216" s="25" t="s">
        <v>180</v>
      </c>
      <c r="E216" s="25" t="s">
        <v>331</v>
      </c>
      <c r="F216" s="25" t="s">
        <v>201</v>
      </c>
      <c r="G216" s="25" t="s">
        <v>457</v>
      </c>
      <c r="H216" s="25" t="s">
        <v>191</v>
      </c>
      <c r="I216" s="25" t="s">
        <v>144</v>
      </c>
      <c r="J216" s="24">
        <v>1</v>
      </c>
      <c r="K216" s="16">
        <v>7.6817009357093333E-2</v>
      </c>
      <c r="L216" s="25" t="s">
        <v>145</v>
      </c>
      <c r="M216" s="16">
        <v>7.6926346430625375E-2</v>
      </c>
      <c r="N216" s="25" t="s">
        <v>160</v>
      </c>
      <c r="O216" s="25" t="s">
        <v>171</v>
      </c>
      <c r="P216" s="25" t="s">
        <v>464</v>
      </c>
      <c r="Q216" s="16">
        <v>2.8082797815086481E-2</v>
      </c>
      <c r="R216" s="25" t="s">
        <v>465</v>
      </c>
      <c r="S216" s="25" t="s">
        <v>292</v>
      </c>
      <c r="T216" s="26" t="s">
        <v>319</v>
      </c>
      <c r="U216" s="2"/>
      <c r="V216" s="2"/>
      <c r="W216" s="2"/>
      <c r="X216" s="2"/>
      <c r="Y216" s="2"/>
      <c r="Z216" s="2"/>
      <c r="AA216" s="2"/>
      <c r="AB216" s="2"/>
      <c r="AC216" s="2"/>
    </row>
    <row r="217" spans="1:29" ht="23" x14ac:dyDescent="0.35">
      <c r="A217" s="13"/>
      <c r="B217" s="14" t="s">
        <v>22</v>
      </c>
      <c r="C217" s="27">
        <v>6.8891351029034645E-5</v>
      </c>
      <c r="D217" s="16">
        <v>7.658092411740096E-3</v>
      </c>
      <c r="E217" s="16">
        <v>2.5762193000344073E-3</v>
      </c>
      <c r="F217" s="16">
        <v>4.3245273730184323E-2</v>
      </c>
      <c r="G217" s="16">
        <v>5.4008748434174912E-3</v>
      </c>
      <c r="H217" s="16">
        <v>1.9234764314522546E-6</v>
      </c>
      <c r="I217" s="16">
        <v>2.262728187068597E-4</v>
      </c>
      <c r="J217" s="28"/>
      <c r="K217" s="16">
        <v>0.26097665367065048</v>
      </c>
      <c r="L217" s="16">
        <v>3.6100276149458437E-4</v>
      </c>
      <c r="M217" s="16">
        <v>0.26029656381634086</v>
      </c>
      <c r="N217" s="16">
        <v>1.9906856117880248E-4</v>
      </c>
      <c r="O217" s="16">
        <v>2.9344629566297322E-2</v>
      </c>
      <c r="P217" s="16">
        <v>2.3857348031736132E-3</v>
      </c>
      <c r="Q217" s="16">
        <v>0.68149990151054851</v>
      </c>
      <c r="R217" s="16">
        <v>2.6695127135868184E-2</v>
      </c>
      <c r="S217" s="16">
        <v>5.0036935518960931E-3</v>
      </c>
      <c r="T217" s="17">
        <v>3.7009728042966999E-13</v>
      </c>
      <c r="U217" s="2"/>
      <c r="V217" s="2"/>
      <c r="W217" s="2"/>
      <c r="X217" s="2"/>
      <c r="Y217" s="2"/>
      <c r="Z217" s="2"/>
      <c r="AA217" s="2"/>
      <c r="AB217" s="2"/>
      <c r="AC217" s="2"/>
    </row>
    <row r="218" spans="1:29" x14ac:dyDescent="0.35">
      <c r="A218" s="18"/>
      <c r="B218" s="19" t="s">
        <v>23</v>
      </c>
      <c r="C218" s="20">
        <v>216</v>
      </c>
      <c r="D218" s="21">
        <v>216</v>
      </c>
      <c r="E218" s="21">
        <v>216</v>
      </c>
      <c r="F218" s="21">
        <v>216</v>
      </c>
      <c r="G218" s="21">
        <v>216</v>
      </c>
      <c r="H218" s="21">
        <v>216</v>
      </c>
      <c r="I218" s="21">
        <v>216</v>
      </c>
      <c r="J218" s="21">
        <v>216</v>
      </c>
      <c r="K218" s="21">
        <v>216</v>
      </c>
      <c r="L218" s="21">
        <v>216</v>
      </c>
      <c r="M218" s="21">
        <v>216</v>
      </c>
      <c r="N218" s="21">
        <v>216</v>
      </c>
      <c r="O218" s="21">
        <v>216</v>
      </c>
      <c r="P218" s="21">
        <v>216</v>
      </c>
      <c r="Q218" s="21">
        <v>216</v>
      </c>
      <c r="R218" s="21">
        <v>216</v>
      </c>
      <c r="S218" s="21">
        <v>216</v>
      </c>
      <c r="T218" s="22">
        <v>216</v>
      </c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ht="34.5" x14ac:dyDescent="0.35">
      <c r="A219" s="18" t="s">
        <v>75</v>
      </c>
      <c r="B219" s="14" t="s">
        <v>21</v>
      </c>
      <c r="C219" s="27">
        <v>0.10933220076730281</v>
      </c>
      <c r="D219" s="25" t="s">
        <v>231</v>
      </c>
      <c r="E219" s="25" t="s">
        <v>277</v>
      </c>
      <c r="F219" s="25" t="s">
        <v>454</v>
      </c>
      <c r="G219" s="25" t="s">
        <v>332</v>
      </c>
      <c r="H219" s="16">
        <v>0.12038410161303044</v>
      </c>
      <c r="I219" s="25" t="s">
        <v>399</v>
      </c>
      <c r="J219" s="16">
        <v>7.6817009357093333E-2</v>
      </c>
      <c r="K219" s="24">
        <v>1</v>
      </c>
      <c r="L219" s="25" t="s">
        <v>381</v>
      </c>
      <c r="M219" s="25" t="s">
        <v>466</v>
      </c>
      <c r="N219" s="16">
        <v>3.0208414297431433E-2</v>
      </c>
      <c r="O219" s="25" t="s">
        <v>467</v>
      </c>
      <c r="P219" s="25" t="s">
        <v>277</v>
      </c>
      <c r="Q219" s="16">
        <v>7.6407149048441508E-2</v>
      </c>
      <c r="R219" s="25" t="s">
        <v>287</v>
      </c>
      <c r="S219" s="25" t="s">
        <v>282</v>
      </c>
      <c r="T219" s="26" t="s">
        <v>309</v>
      </c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ht="23" x14ac:dyDescent="0.35">
      <c r="A220" s="13"/>
      <c r="B220" s="14" t="s">
        <v>22</v>
      </c>
      <c r="C220" s="27">
        <v>0.10908223114994672</v>
      </c>
      <c r="D220" s="16">
        <v>7.3198395574302792E-6</v>
      </c>
      <c r="E220" s="16">
        <v>1.9581244425426556E-2</v>
      </c>
      <c r="F220" s="16">
        <v>2.6093390546549069E-7</v>
      </c>
      <c r="G220" s="16">
        <v>1.4960483332260221E-2</v>
      </c>
      <c r="H220" s="16">
        <v>7.7490257094431622E-2</v>
      </c>
      <c r="I220" s="16">
        <v>4.9335594662651702E-5</v>
      </c>
      <c r="J220" s="16">
        <v>0.26097665367065048</v>
      </c>
      <c r="K220" s="28"/>
      <c r="L220" s="16">
        <v>1.581355464992025E-2</v>
      </c>
      <c r="M220" s="16">
        <v>1.8466347735978656E-7</v>
      </c>
      <c r="N220" s="16">
        <v>0.65885407008249586</v>
      </c>
      <c r="O220" s="16">
        <v>1.1316775855274925E-6</v>
      </c>
      <c r="P220" s="16">
        <v>1.9527972858222262E-2</v>
      </c>
      <c r="Q220" s="16">
        <v>0.26353688943004266</v>
      </c>
      <c r="R220" s="16">
        <v>6.2330603169982854E-5</v>
      </c>
      <c r="S220" s="16">
        <v>2.885234747418764E-3</v>
      </c>
      <c r="T220" s="17">
        <v>5.1869349501804181E-13</v>
      </c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x14ac:dyDescent="0.35">
      <c r="A221" s="18"/>
      <c r="B221" s="19" t="s">
        <v>23</v>
      </c>
      <c r="C221" s="20">
        <v>216</v>
      </c>
      <c r="D221" s="21">
        <v>216</v>
      </c>
      <c r="E221" s="21">
        <v>216</v>
      </c>
      <c r="F221" s="21">
        <v>216</v>
      </c>
      <c r="G221" s="21">
        <v>216</v>
      </c>
      <c r="H221" s="21">
        <v>216</v>
      </c>
      <c r="I221" s="21">
        <v>216</v>
      </c>
      <c r="J221" s="21">
        <v>216</v>
      </c>
      <c r="K221" s="21">
        <v>216</v>
      </c>
      <c r="L221" s="21">
        <v>216</v>
      </c>
      <c r="M221" s="21">
        <v>216</v>
      </c>
      <c r="N221" s="21">
        <v>216</v>
      </c>
      <c r="O221" s="21">
        <v>216</v>
      </c>
      <c r="P221" s="21">
        <v>216</v>
      </c>
      <c r="Q221" s="21">
        <v>216</v>
      </c>
      <c r="R221" s="21">
        <v>216</v>
      </c>
      <c r="S221" s="21">
        <v>216</v>
      </c>
      <c r="T221" s="22">
        <v>216</v>
      </c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34.5" x14ac:dyDescent="0.35">
      <c r="A222" s="18" t="s">
        <v>76</v>
      </c>
      <c r="B222" s="14" t="s">
        <v>21</v>
      </c>
      <c r="C222" s="23" t="s">
        <v>389</v>
      </c>
      <c r="D222" s="25" t="s">
        <v>449</v>
      </c>
      <c r="E222" s="25" t="s">
        <v>144</v>
      </c>
      <c r="F222" s="25" t="s">
        <v>455</v>
      </c>
      <c r="G222" s="25" t="s">
        <v>271</v>
      </c>
      <c r="H222" s="25" t="s">
        <v>461</v>
      </c>
      <c r="I222" s="16">
        <v>5.4047600746947255E-2</v>
      </c>
      <c r="J222" s="25" t="s">
        <v>145</v>
      </c>
      <c r="K222" s="25" t="s">
        <v>381</v>
      </c>
      <c r="L222" s="24">
        <v>1</v>
      </c>
      <c r="M222" s="25" t="s">
        <v>468</v>
      </c>
      <c r="N222" s="16">
        <v>0.10939508659779504</v>
      </c>
      <c r="O222" s="25" t="s">
        <v>469</v>
      </c>
      <c r="P222" s="25" t="s">
        <v>470</v>
      </c>
      <c r="Q222" s="25" t="s">
        <v>471</v>
      </c>
      <c r="R222" s="25" t="s">
        <v>472</v>
      </c>
      <c r="S222" s="25" t="s">
        <v>160</v>
      </c>
      <c r="T222" s="26" t="s">
        <v>473</v>
      </c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23" x14ac:dyDescent="0.35">
      <c r="A223" s="13"/>
      <c r="B223" s="14" t="s">
        <v>22</v>
      </c>
      <c r="C223" s="27">
        <v>1.6648505402442899E-4</v>
      </c>
      <c r="D223" s="16">
        <v>4.6072172759126071E-4</v>
      </c>
      <c r="E223" s="16">
        <v>2.2567905583945988E-4</v>
      </c>
      <c r="F223" s="16">
        <v>4.5833318753022677E-3</v>
      </c>
      <c r="G223" s="16">
        <v>7.3880927226614224E-4</v>
      </c>
      <c r="H223" s="16">
        <v>6.6307032164583126E-4</v>
      </c>
      <c r="I223" s="16">
        <v>0.42935084145027447</v>
      </c>
      <c r="J223" s="16">
        <v>3.6100276149458437E-4</v>
      </c>
      <c r="K223" s="16">
        <v>1.581355464992025E-2</v>
      </c>
      <c r="L223" s="28"/>
      <c r="M223" s="16">
        <v>1.8494999297376219E-2</v>
      </c>
      <c r="N223" s="16">
        <v>0.10887745784441624</v>
      </c>
      <c r="O223" s="16">
        <v>1.3176948489051547E-4</v>
      </c>
      <c r="P223" s="16">
        <v>4.4683062403630619E-6</v>
      </c>
      <c r="Q223" s="16">
        <v>4.0201941318952453E-2</v>
      </c>
      <c r="R223" s="16">
        <v>8.7402614644390884E-8</v>
      </c>
      <c r="S223" s="16">
        <v>1.9556675111269316E-4</v>
      </c>
      <c r="T223" s="17">
        <v>9.7362946108247839E-16</v>
      </c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x14ac:dyDescent="0.35">
      <c r="A224" s="18"/>
      <c r="B224" s="19" t="s">
        <v>23</v>
      </c>
      <c r="C224" s="20">
        <v>216</v>
      </c>
      <c r="D224" s="21">
        <v>216</v>
      </c>
      <c r="E224" s="21">
        <v>216</v>
      </c>
      <c r="F224" s="21">
        <v>216</v>
      </c>
      <c r="G224" s="21">
        <v>216</v>
      </c>
      <c r="H224" s="21">
        <v>216</v>
      </c>
      <c r="I224" s="21">
        <v>216</v>
      </c>
      <c r="J224" s="21">
        <v>216</v>
      </c>
      <c r="K224" s="21">
        <v>216</v>
      </c>
      <c r="L224" s="21">
        <v>216</v>
      </c>
      <c r="M224" s="21">
        <v>216</v>
      </c>
      <c r="N224" s="21">
        <v>216</v>
      </c>
      <c r="O224" s="21">
        <v>216</v>
      </c>
      <c r="P224" s="21">
        <v>216</v>
      </c>
      <c r="Q224" s="21">
        <v>216</v>
      </c>
      <c r="R224" s="21">
        <v>216</v>
      </c>
      <c r="S224" s="21">
        <v>216</v>
      </c>
      <c r="T224" s="22">
        <v>216</v>
      </c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34.5" x14ac:dyDescent="0.35">
      <c r="A225" s="18" t="s">
        <v>77</v>
      </c>
      <c r="B225" s="14" t="s">
        <v>21</v>
      </c>
      <c r="C225" s="27">
        <v>0.12882023703512077</v>
      </c>
      <c r="D225" s="25" t="s">
        <v>306</v>
      </c>
      <c r="E225" s="16">
        <v>6.8909966411294279E-2</v>
      </c>
      <c r="F225" s="25" t="s">
        <v>193</v>
      </c>
      <c r="G225" s="16">
        <v>0.10675395244827511</v>
      </c>
      <c r="H225" s="25" t="s">
        <v>462</v>
      </c>
      <c r="I225" s="25" t="s">
        <v>160</v>
      </c>
      <c r="J225" s="16">
        <v>7.6926346430625375E-2</v>
      </c>
      <c r="K225" s="25" t="s">
        <v>466</v>
      </c>
      <c r="L225" s="25" t="s">
        <v>468</v>
      </c>
      <c r="M225" s="24">
        <v>1</v>
      </c>
      <c r="N225" s="25" t="s">
        <v>474</v>
      </c>
      <c r="O225" s="25" t="s">
        <v>475</v>
      </c>
      <c r="P225" s="25" t="s">
        <v>292</v>
      </c>
      <c r="Q225" s="25" t="s">
        <v>476</v>
      </c>
      <c r="R225" s="25" t="s">
        <v>157</v>
      </c>
      <c r="S225" s="25" t="s">
        <v>219</v>
      </c>
      <c r="T225" s="26" t="s">
        <v>477</v>
      </c>
      <c r="U225" s="2"/>
      <c r="V225" s="2"/>
      <c r="W225" s="2"/>
      <c r="X225" s="2"/>
      <c r="Y225" s="2"/>
      <c r="Z225" s="2"/>
      <c r="AA225" s="2"/>
      <c r="AB225" s="2"/>
      <c r="AC225" s="2"/>
    </row>
    <row r="226" spans="1:29" ht="23" x14ac:dyDescent="0.35">
      <c r="A226" s="13"/>
      <c r="B226" s="14" t="s">
        <v>22</v>
      </c>
      <c r="C226" s="27">
        <v>5.873650923601953E-2</v>
      </c>
      <c r="D226" s="16">
        <v>1.0745848833934068E-9</v>
      </c>
      <c r="E226" s="16">
        <v>0.31341230267801945</v>
      </c>
      <c r="F226" s="16">
        <v>6.8290181427912941E-6</v>
      </c>
      <c r="G226" s="16">
        <v>0.11774104128916558</v>
      </c>
      <c r="H226" s="16">
        <v>8.344643630573924E-8</v>
      </c>
      <c r="I226" s="16">
        <v>1.9931387540369483E-4</v>
      </c>
      <c r="J226" s="16">
        <v>0.26029656381634086</v>
      </c>
      <c r="K226" s="16">
        <v>1.8466347735978656E-7</v>
      </c>
      <c r="L226" s="16">
        <v>1.8494999297376219E-2</v>
      </c>
      <c r="M226" s="28"/>
      <c r="N226" s="16">
        <v>8.1696811033843307E-6</v>
      </c>
      <c r="O226" s="16">
        <v>2.5139367425110616E-4</v>
      </c>
      <c r="P226" s="16">
        <v>5.0890415275002638E-3</v>
      </c>
      <c r="Q226" s="16">
        <v>1.4410679894611136E-6</v>
      </c>
      <c r="R226" s="16">
        <v>2.8033910500083585E-10</v>
      </c>
      <c r="S226" s="16">
        <v>1.0285303184351425E-5</v>
      </c>
      <c r="T226" s="17">
        <v>3.5978016370884241E-20</v>
      </c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x14ac:dyDescent="0.35">
      <c r="A227" s="18"/>
      <c r="B227" s="19" t="s">
        <v>23</v>
      </c>
      <c r="C227" s="20">
        <v>216</v>
      </c>
      <c r="D227" s="21">
        <v>216</v>
      </c>
      <c r="E227" s="21">
        <v>216</v>
      </c>
      <c r="F227" s="21">
        <v>216</v>
      </c>
      <c r="G227" s="21">
        <v>216</v>
      </c>
      <c r="H227" s="21">
        <v>216</v>
      </c>
      <c r="I227" s="21">
        <v>216</v>
      </c>
      <c r="J227" s="21">
        <v>216</v>
      </c>
      <c r="K227" s="21">
        <v>216</v>
      </c>
      <c r="L227" s="21">
        <v>216</v>
      </c>
      <c r="M227" s="21">
        <v>216</v>
      </c>
      <c r="N227" s="21">
        <v>216</v>
      </c>
      <c r="O227" s="21">
        <v>216</v>
      </c>
      <c r="P227" s="21">
        <v>216</v>
      </c>
      <c r="Q227" s="21">
        <v>216</v>
      </c>
      <c r="R227" s="21">
        <v>216</v>
      </c>
      <c r="S227" s="21">
        <v>216</v>
      </c>
      <c r="T227" s="22">
        <v>216</v>
      </c>
      <c r="U227" s="2"/>
      <c r="V227" s="2"/>
      <c r="W227" s="2"/>
      <c r="X227" s="2"/>
      <c r="Y227" s="2"/>
      <c r="Z227" s="2"/>
      <c r="AA227" s="2"/>
      <c r="AB227" s="2"/>
      <c r="AC227" s="2"/>
    </row>
    <row r="228" spans="1:29" ht="34.5" x14ac:dyDescent="0.35">
      <c r="A228" s="18" t="s">
        <v>78</v>
      </c>
      <c r="B228" s="14" t="s">
        <v>21</v>
      </c>
      <c r="C228" s="27">
        <v>0.12504714412823997</v>
      </c>
      <c r="D228" s="25" t="s">
        <v>450</v>
      </c>
      <c r="E228" s="16">
        <v>8.193097513428263E-2</v>
      </c>
      <c r="F228" s="25" t="s">
        <v>196</v>
      </c>
      <c r="G228" s="25" t="s">
        <v>296</v>
      </c>
      <c r="H228" s="25" t="s">
        <v>291</v>
      </c>
      <c r="I228" s="25" t="s">
        <v>140</v>
      </c>
      <c r="J228" s="25" t="s">
        <v>160</v>
      </c>
      <c r="K228" s="16">
        <v>3.0208414297431433E-2</v>
      </c>
      <c r="L228" s="16">
        <v>0.10939508659779504</v>
      </c>
      <c r="M228" s="25" t="s">
        <v>474</v>
      </c>
      <c r="N228" s="24">
        <v>1</v>
      </c>
      <c r="O228" s="16">
        <v>8.8270350630464955E-2</v>
      </c>
      <c r="P228" s="25" t="s">
        <v>456</v>
      </c>
      <c r="Q228" s="16">
        <v>0.12452318028525398</v>
      </c>
      <c r="R228" s="25" t="s">
        <v>407</v>
      </c>
      <c r="S228" s="25" t="s">
        <v>400</v>
      </c>
      <c r="T228" s="26" t="s">
        <v>478</v>
      </c>
      <c r="U228" s="2"/>
      <c r="V228" s="2"/>
      <c r="W228" s="2"/>
      <c r="X228" s="2"/>
      <c r="Y228" s="2"/>
      <c r="Z228" s="2"/>
      <c r="AA228" s="2"/>
      <c r="AB228" s="2"/>
      <c r="AC228" s="2"/>
    </row>
    <row r="229" spans="1:29" ht="23" x14ac:dyDescent="0.35">
      <c r="A229" s="13"/>
      <c r="B229" s="14" t="s">
        <v>22</v>
      </c>
      <c r="C229" s="27">
        <v>6.6601626992458487E-2</v>
      </c>
      <c r="D229" s="16">
        <v>2.000568162670519E-8</v>
      </c>
      <c r="E229" s="16">
        <v>0.23046393606159774</v>
      </c>
      <c r="F229" s="16">
        <v>1.0958356773389306E-2</v>
      </c>
      <c r="G229" s="16">
        <v>6.3865910433404333E-3</v>
      </c>
      <c r="H229" s="16">
        <v>6.3678770848502702E-6</v>
      </c>
      <c r="I229" s="16">
        <v>9.4228956828715441E-5</v>
      </c>
      <c r="J229" s="16">
        <v>1.9906856117880248E-4</v>
      </c>
      <c r="K229" s="16">
        <v>0.65885407008249586</v>
      </c>
      <c r="L229" s="16">
        <v>0.10887745784441624</v>
      </c>
      <c r="M229" s="16">
        <v>8.1696811033843307E-6</v>
      </c>
      <c r="N229" s="28"/>
      <c r="O229" s="16">
        <v>0.19625316735683559</v>
      </c>
      <c r="P229" s="16">
        <v>2.5886087167131466E-5</v>
      </c>
      <c r="Q229" s="16">
        <v>6.7759001586191081E-2</v>
      </c>
      <c r="R229" s="16">
        <v>1.8943315385196713E-5</v>
      </c>
      <c r="S229" s="16">
        <v>1.6340894571309665E-4</v>
      </c>
      <c r="T229" s="17">
        <v>4.5397255145404177E-15</v>
      </c>
      <c r="U229" s="2"/>
      <c r="V229" s="2"/>
      <c r="W229" s="2"/>
      <c r="X229" s="2"/>
      <c r="Y229" s="2"/>
      <c r="Z229" s="2"/>
      <c r="AA229" s="2"/>
      <c r="AB229" s="2"/>
      <c r="AC229" s="2"/>
    </row>
    <row r="230" spans="1:29" x14ac:dyDescent="0.35">
      <c r="A230" s="18"/>
      <c r="B230" s="19" t="s">
        <v>23</v>
      </c>
      <c r="C230" s="20">
        <v>216</v>
      </c>
      <c r="D230" s="21">
        <v>216</v>
      </c>
      <c r="E230" s="21">
        <v>216</v>
      </c>
      <c r="F230" s="21">
        <v>216</v>
      </c>
      <c r="G230" s="21">
        <v>216</v>
      </c>
      <c r="H230" s="21">
        <v>216</v>
      </c>
      <c r="I230" s="21">
        <v>216</v>
      </c>
      <c r="J230" s="21">
        <v>216</v>
      </c>
      <c r="K230" s="21">
        <v>216</v>
      </c>
      <c r="L230" s="21">
        <v>216</v>
      </c>
      <c r="M230" s="21">
        <v>216</v>
      </c>
      <c r="N230" s="21">
        <v>216</v>
      </c>
      <c r="O230" s="21">
        <v>216</v>
      </c>
      <c r="P230" s="21">
        <v>216</v>
      </c>
      <c r="Q230" s="21">
        <v>216</v>
      </c>
      <c r="R230" s="21">
        <v>216</v>
      </c>
      <c r="S230" s="21">
        <v>216</v>
      </c>
      <c r="T230" s="22">
        <v>216</v>
      </c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34.5" x14ac:dyDescent="0.35">
      <c r="A231" s="18" t="s">
        <v>79</v>
      </c>
      <c r="B231" s="14" t="s">
        <v>21</v>
      </c>
      <c r="C231" s="23" t="s">
        <v>394</v>
      </c>
      <c r="D231" s="25" t="s">
        <v>205</v>
      </c>
      <c r="E231" s="25" t="s">
        <v>385</v>
      </c>
      <c r="F231" s="25" t="s">
        <v>135</v>
      </c>
      <c r="G231" s="25" t="s">
        <v>458</v>
      </c>
      <c r="H231" s="16">
        <v>8.4354901153343209E-2</v>
      </c>
      <c r="I231" s="25" t="s">
        <v>177</v>
      </c>
      <c r="J231" s="25" t="s">
        <v>171</v>
      </c>
      <c r="K231" s="25" t="s">
        <v>467</v>
      </c>
      <c r="L231" s="25" t="s">
        <v>469</v>
      </c>
      <c r="M231" s="25" t="s">
        <v>475</v>
      </c>
      <c r="N231" s="16">
        <v>8.8270350630464955E-2</v>
      </c>
      <c r="O231" s="24">
        <v>1</v>
      </c>
      <c r="P231" s="16">
        <v>0.13343374023782834</v>
      </c>
      <c r="Q231" s="25" t="s">
        <v>479</v>
      </c>
      <c r="R231" s="25" t="s">
        <v>453</v>
      </c>
      <c r="S231" s="16">
        <v>6.0838735452277554E-2</v>
      </c>
      <c r="T231" s="26" t="s">
        <v>480</v>
      </c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ht="23" x14ac:dyDescent="0.35">
      <c r="A232" s="13"/>
      <c r="B232" s="14" t="s">
        <v>22</v>
      </c>
      <c r="C232" s="27">
        <v>1.3643671647349028E-2</v>
      </c>
      <c r="D232" s="16">
        <v>3.4035665461235552E-4</v>
      </c>
      <c r="E232" s="16">
        <v>1.3961768209821151E-2</v>
      </c>
      <c r="F232" s="16">
        <v>6.770426612673708E-10</v>
      </c>
      <c r="G232" s="16">
        <v>2.9059475345552976E-2</v>
      </c>
      <c r="H232" s="16">
        <v>0.2169172030554033</v>
      </c>
      <c r="I232" s="16">
        <v>4.3069658486829661E-7</v>
      </c>
      <c r="J232" s="16">
        <v>2.9344629566297322E-2</v>
      </c>
      <c r="K232" s="16">
        <v>1.1316775855274925E-6</v>
      </c>
      <c r="L232" s="16">
        <v>1.3176948489051547E-4</v>
      </c>
      <c r="M232" s="16">
        <v>2.5139367425110616E-4</v>
      </c>
      <c r="N232" s="16">
        <v>0.19625316735683559</v>
      </c>
      <c r="O232" s="28"/>
      <c r="P232" s="16">
        <v>5.0176667047927725E-2</v>
      </c>
      <c r="Q232" s="16">
        <v>7.4508767091423537E-3</v>
      </c>
      <c r="R232" s="16">
        <v>1.0090081609007481E-2</v>
      </c>
      <c r="S232" s="16">
        <v>0.3735843341462175</v>
      </c>
      <c r="T232" s="17">
        <v>3.8448960759217394E-14</v>
      </c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x14ac:dyDescent="0.35">
      <c r="A233" s="18"/>
      <c r="B233" s="19" t="s">
        <v>23</v>
      </c>
      <c r="C233" s="20">
        <v>216</v>
      </c>
      <c r="D233" s="21">
        <v>216</v>
      </c>
      <c r="E233" s="21">
        <v>216</v>
      </c>
      <c r="F233" s="21">
        <v>216</v>
      </c>
      <c r="G233" s="21">
        <v>216</v>
      </c>
      <c r="H233" s="21">
        <v>216</v>
      </c>
      <c r="I233" s="21">
        <v>216</v>
      </c>
      <c r="J233" s="21">
        <v>216</v>
      </c>
      <c r="K233" s="21">
        <v>216</v>
      </c>
      <c r="L233" s="21">
        <v>216</v>
      </c>
      <c r="M233" s="21">
        <v>216</v>
      </c>
      <c r="N233" s="21">
        <v>216</v>
      </c>
      <c r="O233" s="21">
        <v>216</v>
      </c>
      <c r="P233" s="21">
        <v>216</v>
      </c>
      <c r="Q233" s="21">
        <v>216</v>
      </c>
      <c r="R233" s="21">
        <v>216</v>
      </c>
      <c r="S233" s="21">
        <v>216</v>
      </c>
      <c r="T233" s="22">
        <v>216</v>
      </c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34.5" x14ac:dyDescent="0.35">
      <c r="A234" s="18" t="s">
        <v>80</v>
      </c>
      <c r="B234" s="14" t="s">
        <v>21</v>
      </c>
      <c r="C234" s="23" t="s">
        <v>331</v>
      </c>
      <c r="D234" s="25" t="s">
        <v>381</v>
      </c>
      <c r="E234" s="25" t="s">
        <v>200</v>
      </c>
      <c r="F234" s="25" t="s">
        <v>456</v>
      </c>
      <c r="G234" s="25" t="s">
        <v>199</v>
      </c>
      <c r="H234" s="25" t="s">
        <v>379</v>
      </c>
      <c r="I234" s="16">
        <v>0.11890192020936637</v>
      </c>
      <c r="J234" s="25" t="s">
        <v>464</v>
      </c>
      <c r="K234" s="25" t="s">
        <v>277</v>
      </c>
      <c r="L234" s="25" t="s">
        <v>470</v>
      </c>
      <c r="M234" s="25" t="s">
        <v>292</v>
      </c>
      <c r="N234" s="25" t="s">
        <v>456</v>
      </c>
      <c r="O234" s="16">
        <v>0.13343374023782834</v>
      </c>
      <c r="P234" s="24">
        <v>1</v>
      </c>
      <c r="Q234" s="25" t="s">
        <v>375</v>
      </c>
      <c r="R234" s="16">
        <v>0.11432583868513128</v>
      </c>
      <c r="S234" s="25" t="s">
        <v>447</v>
      </c>
      <c r="T234" s="26" t="s">
        <v>481</v>
      </c>
      <c r="U234" s="2"/>
      <c r="V234" s="2"/>
      <c r="W234" s="2"/>
      <c r="X234" s="2"/>
      <c r="Y234" s="2"/>
      <c r="Z234" s="2"/>
      <c r="AA234" s="2"/>
      <c r="AB234" s="2"/>
      <c r="AC234" s="2"/>
    </row>
    <row r="235" spans="1:29" ht="23" x14ac:dyDescent="0.35">
      <c r="A235" s="13"/>
      <c r="B235" s="14" t="s">
        <v>22</v>
      </c>
      <c r="C235" s="27">
        <v>2.582686422990347E-3</v>
      </c>
      <c r="D235" s="16">
        <v>1.5653000826253732E-2</v>
      </c>
      <c r="E235" s="16">
        <v>2.2157921538050955E-2</v>
      </c>
      <c r="F235" s="16">
        <v>2.6382080454537471E-5</v>
      </c>
      <c r="G235" s="16">
        <v>3.2969803288282894E-3</v>
      </c>
      <c r="H235" s="16">
        <v>3.9790086722622141E-4</v>
      </c>
      <c r="I235" s="16">
        <v>8.1238500700625771E-2</v>
      </c>
      <c r="J235" s="16">
        <v>2.3857348031736132E-3</v>
      </c>
      <c r="K235" s="16">
        <v>1.9527972858222262E-2</v>
      </c>
      <c r="L235" s="16">
        <v>4.4683062403630619E-6</v>
      </c>
      <c r="M235" s="16">
        <v>5.0890415275002638E-3</v>
      </c>
      <c r="N235" s="16">
        <v>2.5886087167131466E-5</v>
      </c>
      <c r="O235" s="16">
        <v>5.0176667047927725E-2</v>
      </c>
      <c r="P235" s="28"/>
      <c r="Q235" s="16">
        <v>3.1749385908269663E-3</v>
      </c>
      <c r="R235" s="16">
        <v>9.37401849137523E-2</v>
      </c>
      <c r="S235" s="16">
        <v>8.6005439698032595E-9</v>
      </c>
      <c r="T235" s="17">
        <v>7.0955359992303114E-16</v>
      </c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x14ac:dyDescent="0.35">
      <c r="A236" s="18"/>
      <c r="B236" s="19" t="s">
        <v>23</v>
      </c>
      <c r="C236" s="20">
        <v>216</v>
      </c>
      <c r="D236" s="21">
        <v>216</v>
      </c>
      <c r="E236" s="21">
        <v>216</v>
      </c>
      <c r="F236" s="21">
        <v>216</v>
      </c>
      <c r="G236" s="21">
        <v>216</v>
      </c>
      <c r="H236" s="21">
        <v>216</v>
      </c>
      <c r="I236" s="21">
        <v>216</v>
      </c>
      <c r="J236" s="21">
        <v>216</v>
      </c>
      <c r="K236" s="21">
        <v>216</v>
      </c>
      <c r="L236" s="21">
        <v>216</v>
      </c>
      <c r="M236" s="21">
        <v>216</v>
      </c>
      <c r="N236" s="21">
        <v>216</v>
      </c>
      <c r="O236" s="21">
        <v>216</v>
      </c>
      <c r="P236" s="21">
        <v>216</v>
      </c>
      <c r="Q236" s="21">
        <v>216</v>
      </c>
      <c r="R236" s="21">
        <v>216</v>
      </c>
      <c r="S236" s="21">
        <v>216</v>
      </c>
      <c r="T236" s="22">
        <v>216</v>
      </c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34.5" x14ac:dyDescent="0.35">
      <c r="A237" s="18" t="s">
        <v>81</v>
      </c>
      <c r="B237" s="14" t="s">
        <v>21</v>
      </c>
      <c r="C237" s="23" t="s">
        <v>371</v>
      </c>
      <c r="D237" s="25" t="s">
        <v>312</v>
      </c>
      <c r="E237" s="16">
        <v>0.13204166571933867</v>
      </c>
      <c r="F237" s="25" t="s">
        <v>378</v>
      </c>
      <c r="G237" s="25" t="s">
        <v>344</v>
      </c>
      <c r="H237" s="16">
        <v>0.12567924404450409</v>
      </c>
      <c r="I237" s="16">
        <v>8.030094731402812E-2</v>
      </c>
      <c r="J237" s="16">
        <v>2.8082797815086481E-2</v>
      </c>
      <c r="K237" s="16">
        <v>7.6407149048441508E-2</v>
      </c>
      <c r="L237" s="25" t="s">
        <v>471</v>
      </c>
      <c r="M237" s="25" t="s">
        <v>476</v>
      </c>
      <c r="N237" s="16">
        <v>0.12452318028525398</v>
      </c>
      <c r="O237" s="25" t="s">
        <v>479</v>
      </c>
      <c r="P237" s="25" t="s">
        <v>375</v>
      </c>
      <c r="Q237" s="24">
        <v>1</v>
      </c>
      <c r="R237" s="16">
        <v>9.2331035830659561E-2</v>
      </c>
      <c r="S237" s="16">
        <v>0.12593497322727662</v>
      </c>
      <c r="T237" s="26" t="s">
        <v>482</v>
      </c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23" x14ac:dyDescent="0.35">
      <c r="A238" s="13"/>
      <c r="B238" s="14" t="s">
        <v>22</v>
      </c>
      <c r="C238" s="27">
        <v>9.3237414571384499E-4</v>
      </c>
      <c r="D238" s="16">
        <v>1.1034612805976824E-4</v>
      </c>
      <c r="E238" s="16">
        <v>5.2642616754127659E-2</v>
      </c>
      <c r="F238" s="16">
        <v>5.7968028531739245E-5</v>
      </c>
      <c r="G238" s="16">
        <v>8.659941896297832E-3</v>
      </c>
      <c r="H238" s="16">
        <v>6.5226960488094829E-2</v>
      </c>
      <c r="I238" s="16">
        <v>0.2399031372452034</v>
      </c>
      <c r="J238" s="16">
        <v>0.68149990151054851</v>
      </c>
      <c r="K238" s="16">
        <v>0.26353688943004266</v>
      </c>
      <c r="L238" s="16">
        <v>4.0201941318952453E-2</v>
      </c>
      <c r="M238" s="16">
        <v>1.4410679894611136E-6</v>
      </c>
      <c r="N238" s="16">
        <v>6.7759001586191081E-2</v>
      </c>
      <c r="O238" s="16">
        <v>7.4508767091423537E-3</v>
      </c>
      <c r="P238" s="16">
        <v>3.1749385908269663E-3</v>
      </c>
      <c r="Q238" s="28"/>
      <c r="R238" s="16">
        <v>0.17637550333438445</v>
      </c>
      <c r="S238" s="16">
        <v>6.4677452818737866E-2</v>
      </c>
      <c r="T238" s="17">
        <v>4.0390060133446203E-11</v>
      </c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x14ac:dyDescent="0.35">
      <c r="A239" s="18"/>
      <c r="B239" s="19" t="s">
        <v>23</v>
      </c>
      <c r="C239" s="20">
        <v>216</v>
      </c>
      <c r="D239" s="21">
        <v>216</v>
      </c>
      <c r="E239" s="21">
        <v>216</v>
      </c>
      <c r="F239" s="21">
        <v>216</v>
      </c>
      <c r="G239" s="21">
        <v>216</v>
      </c>
      <c r="H239" s="21">
        <v>216</v>
      </c>
      <c r="I239" s="21">
        <v>216</v>
      </c>
      <c r="J239" s="21">
        <v>216</v>
      </c>
      <c r="K239" s="21">
        <v>216</v>
      </c>
      <c r="L239" s="21">
        <v>216</v>
      </c>
      <c r="M239" s="21">
        <v>216</v>
      </c>
      <c r="N239" s="21">
        <v>216</v>
      </c>
      <c r="O239" s="21">
        <v>216</v>
      </c>
      <c r="P239" s="21">
        <v>216</v>
      </c>
      <c r="Q239" s="21">
        <v>216</v>
      </c>
      <c r="R239" s="21">
        <v>216</v>
      </c>
      <c r="S239" s="21">
        <v>216</v>
      </c>
      <c r="T239" s="22">
        <v>216</v>
      </c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34.5" x14ac:dyDescent="0.35">
      <c r="A240" s="18" t="s">
        <v>82</v>
      </c>
      <c r="B240" s="14" t="s">
        <v>21</v>
      </c>
      <c r="C240" s="27">
        <v>-3.2813010971560557E-3</v>
      </c>
      <c r="D240" s="25" t="s">
        <v>181</v>
      </c>
      <c r="E240" s="25" t="s">
        <v>210</v>
      </c>
      <c r="F240" s="25" t="s">
        <v>312</v>
      </c>
      <c r="G240" s="25" t="s">
        <v>256</v>
      </c>
      <c r="H240" s="25" t="s">
        <v>456</v>
      </c>
      <c r="I240" s="25" t="s">
        <v>460</v>
      </c>
      <c r="J240" s="25" t="s">
        <v>465</v>
      </c>
      <c r="K240" s="25" t="s">
        <v>287</v>
      </c>
      <c r="L240" s="25" t="s">
        <v>472</v>
      </c>
      <c r="M240" s="25" t="s">
        <v>157</v>
      </c>
      <c r="N240" s="25" t="s">
        <v>407</v>
      </c>
      <c r="O240" s="25" t="s">
        <v>453</v>
      </c>
      <c r="P240" s="16">
        <v>0.11432583868513128</v>
      </c>
      <c r="Q240" s="16">
        <v>9.2331035830659561E-2</v>
      </c>
      <c r="R240" s="24">
        <v>1</v>
      </c>
      <c r="S240" s="25" t="s">
        <v>407</v>
      </c>
      <c r="T240" s="26" t="s">
        <v>483</v>
      </c>
      <c r="U240" s="2"/>
      <c r="V240" s="2"/>
      <c r="W240" s="2"/>
      <c r="X240" s="2"/>
      <c r="Y240" s="2"/>
      <c r="Z240" s="2"/>
      <c r="AA240" s="2"/>
      <c r="AB240" s="2"/>
      <c r="AC240" s="2"/>
    </row>
    <row r="241" spans="1:29" ht="23" x14ac:dyDescent="0.35">
      <c r="A241" s="13"/>
      <c r="B241" s="14" t="s">
        <v>22</v>
      </c>
      <c r="C241" s="27">
        <v>0.96175977089478404</v>
      </c>
      <c r="D241" s="16">
        <v>3.7117019537068575E-5</v>
      </c>
      <c r="E241" s="16">
        <v>1.9670812139895057E-3</v>
      </c>
      <c r="F241" s="16">
        <v>1.0893036752430717E-4</v>
      </c>
      <c r="G241" s="16">
        <v>5.3987147636426708E-5</v>
      </c>
      <c r="H241" s="16">
        <v>2.5620896634183962E-5</v>
      </c>
      <c r="I241" s="16">
        <v>1.223889855933159E-2</v>
      </c>
      <c r="J241" s="16">
        <v>2.6695127135868184E-2</v>
      </c>
      <c r="K241" s="16">
        <v>6.2330603169982854E-5</v>
      </c>
      <c r="L241" s="16">
        <v>8.7402614644390884E-8</v>
      </c>
      <c r="M241" s="16">
        <v>2.8033910500083585E-10</v>
      </c>
      <c r="N241" s="16">
        <v>1.8943315385196713E-5</v>
      </c>
      <c r="O241" s="16">
        <v>1.0090081609007481E-2</v>
      </c>
      <c r="P241" s="16">
        <v>9.37401849137523E-2</v>
      </c>
      <c r="Q241" s="16">
        <v>0.17637550333438445</v>
      </c>
      <c r="R241" s="28"/>
      <c r="S241" s="16">
        <v>1.8521600318079306E-5</v>
      </c>
      <c r="T241" s="17">
        <v>3.4431244072681504E-16</v>
      </c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x14ac:dyDescent="0.35">
      <c r="A242" s="18"/>
      <c r="B242" s="19" t="s">
        <v>23</v>
      </c>
      <c r="C242" s="20">
        <v>216</v>
      </c>
      <c r="D242" s="21">
        <v>216</v>
      </c>
      <c r="E242" s="21">
        <v>216</v>
      </c>
      <c r="F242" s="21">
        <v>216</v>
      </c>
      <c r="G242" s="21">
        <v>216</v>
      </c>
      <c r="H242" s="21">
        <v>216</v>
      </c>
      <c r="I242" s="21">
        <v>216</v>
      </c>
      <c r="J242" s="21">
        <v>216</v>
      </c>
      <c r="K242" s="21">
        <v>216</v>
      </c>
      <c r="L242" s="21">
        <v>216</v>
      </c>
      <c r="M242" s="21">
        <v>216</v>
      </c>
      <c r="N242" s="21">
        <v>216</v>
      </c>
      <c r="O242" s="21">
        <v>216</v>
      </c>
      <c r="P242" s="21">
        <v>216</v>
      </c>
      <c r="Q242" s="21">
        <v>216</v>
      </c>
      <c r="R242" s="21">
        <v>216</v>
      </c>
      <c r="S242" s="21">
        <v>216</v>
      </c>
      <c r="T242" s="22">
        <v>216</v>
      </c>
      <c r="U242" s="2"/>
      <c r="V242" s="2"/>
      <c r="W242" s="2"/>
      <c r="X242" s="2"/>
      <c r="Y242" s="2"/>
      <c r="Z242" s="2"/>
      <c r="AA242" s="2"/>
      <c r="AB242" s="2"/>
      <c r="AC242" s="2"/>
    </row>
    <row r="243" spans="1:29" ht="34.5" x14ac:dyDescent="0.35">
      <c r="A243" s="18" t="s">
        <v>83</v>
      </c>
      <c r="B243" s="14" t="s">
        <v>21</v>
      </c>
      <c r="C243" s="23" t="s">
        <v>323</v>
      </c>
      <c r="D243" s="25" t="s">
        <v>294</v>
      </c>
      <c r="E243" s="25" t="s">
        <v>377</v>
      </c>
      <c r="F243" s="16">
        <v>0.1009535615325545</v>
      </c>
      <c r="G243" s="25" t="s">
        <v>397</v>
      </c>
      <c r="H243" s="25" t="s">
        <v>422</v>
      </c>
      <c r="I243" s="25" t="s">
        <v>215</v>
      </c>
      <c r="J243" s="25" t="s">
        <v>292</v>
      </c>
      <c r="K243" s="25" t="s">
        <v>282</v>
      </c>
      <c r="L243" s="25" t="s">
        <v>160</v>
      </c>
      <c r="M243" s="25" t="s">
        <v>219</v>
      </c>
      <c r="N243" s="25" t="s">
        <v>400</v>
      </c>
      <c r="O243" s="16">
        <v>6.0838735452277554E-2</v>
      </c>
      <c r="P243" s="25" t="s">
        <v>447</v>
      </c>
      <c r="Q243" s="16">
        <v>0.12593497322727662</v>
      </c>
      <c r="R243" s="25" t="s">
        <v>407</v>
      </c>
      <c r="S243" s="24">
        <v>1</v>
      </c>
      <c r="T243" s="26" t="s">
        <v>243</v>
      </c>
      <c r="U243" s="2"/>
      <c r="V243" s="2"/>
      <c r="W243" s="2"/>
      <c r="X243" s="2"/>
      <c r="Y243" s="2"/>
      <c r="Z243" s="2"/>
      <c r="AA243" s="2"/>
      <c r="AB243" s="2"/>
      <c r="AC243" s="2"/>
    </row>
    <row r="244" spans="1:29" ht="23" x14ac:dyDescent="0.35">
      <c r="A244" s="13"/>
      <c r="B244" s="14" t="s">
        <v>22</v>
      </c>
      <c r="C244" s="27">
        <v>3.3365143666543068E-5</v>
      </c>
      <c r="D244" s="16">
        <v>1.1505883342093461E-5</v>
      </c>
      <c r="E244" s="16">
        <v>5.2685492056472264E-4</v>
      </c>
      <c r="F244" s="16">
        <v>0.13917243715612901</v>
      </c>
      <c r="G244" s="16">
        <v>1.4272180738328201E-4</v>
      </c>
      <c r="H244" s="16">
        <v>3.8270862119263068E-5</v>
      </c>
      <c r="I244" s="16">
        <v>1.6967217100577209E-2</v>
      </c>
      <c r="J244" s="16">
        <v>5.0036935518960931E-3</v>
      </c>
      <c r="K244" s="16">
        <v>2.885234747418764E-3</v>
      </c>
      <c r="L244" s="16">
        <v>1.9556675111269316E-4</v>
      </c>
      <c r="M244" s="16">
        <v>1.0285303184351425E-5</v>
      </c>
      <c r="N244" s="16">
        <v>1.6340894571309665E-4</v>
      </c>
      <c r="O244" s="16">
        <v>0.3735843341462175</v>
      </c>
      <c r="P244" s="16">
        <v>8.6005439698032595E-9</v>
      </c>
      <c r="Q244" s="16">
        <v>6.4677452818737866E-2</v>
      </c>
      <c r="R244" s="16">
        <v>1.8521600318079306E-5</v>
      </c>
      <c r="S244" s="28"/>
      <c r="T244" s="17">
        <v>1.4195474294178991E-17</v>
      </c>
      <c r="U244" s="2"/>
      <c r="V244" s="2"/>
      <c r="W244" s="2"/>
      <c r="X244" s="2"/>
      <c r="Y244" s="2"/>
      <c r="Z244" s="2"/>
      <c r="AA244" s="2"/>
      <c r="AB244" s="2"/>
      <c r="AC244" s="2"/>
    </row>
    <row r="245" spans="1:29" x14ac:dyDescent="0.35">
      <c r="A245" s="18"/>
      <c r="B245" s="19" t="s">
        <v>23</v>
      </c>
      <c r="C245" s="20">
        <v>216</v>
      </c>
      <c r="D245" s="21">
        <v>216</v>
      </c>
      <c r="E245" s="21">
        <v>216</v>
      </c>
      <c r="F245" s="21">
        <v>216</v>
      </c>
      <c r="G245" s="21">
        <v>216</v>
      </c>
      <c r="H245" s="21">
        <v>216</v>
      </c>
      <c r="I245" s="21">
        <v>216</v>
      </c>
      <c r="J245" s="21">
        <v>216</v>
      </c>
      <c r="K245" s="21">
        <v>216</v>
      </c>
      <c r="L245" s="21">
        <v>216</v>
      </c>
      <c r="M245" s="21">
        <v>216</v>
      </c>
      <c r="N245" s="21">
        <v>216</v>
      </c>
      <c r="O245" s="21">
        <v>216</v>
      </c>
      <c r="P245" s="21">
        <v>216</v>
      </c>
      <c r="Q245" s="21">
        <v>216</v>
      </c>
      <c r="R245" s="21">
        <v>216</v>
      </c>
      <c r="S245" s="21">
        <v>216</v>
      </c>
      <c r="T245" s="22">
        <v>216</v>
      </c>
      <c r="U245" s="2"/>
      <c r="V245" s="2"/>
      <c r="W245" s="2"/>
      <c r="X245" s="2"/>
      <c r="Y245" s="2"/>
      <c r="Z245" s="2"/>
      <c r="AA245" s="2"/>
      <c r="AB245" s="2"/>
      <c r="AC245" s="2"/>
    </row>
    <row r="246" spans="1:29" ht="34.5" x14ac:dyDescent="0.35">
      <c r="A246" s="18" t="s">
        <v>84</v>
      </c>
      <c r="B246" s="14" t="s">
        <v>21</v>
      </c>
      <c r="C246" s="23" t="s">
        <v>285</v>
      </c>
      <c r="D246" s="25" t="s">
        <v>451</v>
      </c>
      <c r="E246" s="25" t="s">
        <v>319</v>
      </c>
      <c r="F246" s="25" t="s">
        <v>285</v>
      </c>
      <c r="G246" s="25" t="s">
        <v>459</v>
      </c>
      <c r="H246" s="25" t="s">
        <v>463</v>
      </c>
      <c r="I246" s="25" t="s">
        <v>309</v>
      </c>
      <c r="J246" s="25" t="s">
        <v>319</v>
      </c>
      <c r="K246" s="25" t="s">
        <v>309</v>
      </c>
      <c r="L246" s="25" t="s">
        <v>473</v>
      </c>
      <c r="M246" s="25" t="s">
        <v>477</v>
      </c>
      <c r="N246" s="25" t="s">
        <v>478</v>
      </c>
      <c r="O246" s="25" t="s">
        <v>480</v>
      </c>
      <c r="P246" s="25" t="s">
        <v>481</v>
      </c>
      <c r="Q246" s="25" t="s">
        <v>482</v>
      </c>
      <c r="R246" s="25" t="s">
        <v>483</v>
      </c>
      <c r="S246" s="25" t="s">
        <v>243</v>
      </c>
      <c r="T246" s="29">
        <v>1</v>
      </c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ht="23" x14ac:dyDescent="0.35">
      <c r="A247" s="13"/>
      <c r="B247" s="14" t="s">
        <v>22</v>
      </c>
      <c r="C247" s="27">
        <v>2.7677770660852225E-15</v>
      </c>
      <c r="D247" s="16">
        <v>9.9912300781073355E-24</v>
      </c>
      <c r="E247" s="16">
        <v>3.7435885437612534E-13</v>
      </c>
      <c r="F247" s="16">
        <v>2.8909838087642912E-15</v>
      </c>
      <c r="G247" s="16">
        <v>2.0481970537225054E-15</v>
      </c>
      <c r="H247" s="16">
        <v>2.2763638467314514E-16</v>
      </c>
      <c r="I247" s="16">
        <v>5.4293870500541162E-13</v>
      </c>
      <c r="J247" s="16">
        <v>3.7009728042966999E-13</v>
      </c>
      <c r="K247" s="16">
        <v>5.1869349501804181E-13</v>
      </c>
      <c r="L247" s="16">
        <v>9.7362946108247839E-16</v>
      </c>
      <c r="M247" s="16">
        <v>3.5978016370884241E-20</v>
      </c>
      <c r="N247" s="16">
        <v>4.5397255145404177E-15</v>
      </c>
      <c r="O247" s="16">
        <v>3.8448960759217394E-14</v>
      </c>
      <c r="P247" s="16">
        <v>7.0955359992303114E-16</v>
      </c>
      <c r="Q247" s="16">
        <v>4.0390060133446203E-11</v>
      </c>
      <c r="R247" s="16">
        <v>3.4431244072681504E-16</v>
      </c>
      <c r="S247" s="16">
        <v>1.4195474294178991E-17</v>
      </c>
      <c r="T247" s="30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x14ac:dyDescent="0.35">
      <c r="A248" s="31"/>
      <c r="B248" s="32" t="s">
        <v>23</v>
      </c>
      <c r="C248" s="33">
        <v>216</v>
      </c>
      <c r="D248" s="34">
        <v>216</v>
      </c>
      <c r="E248" s="34">
        <v>216</v>
      </c>
      <c r="F248" s="34">
        <v>216</v>
      </c>
      <c r="G248" s="34">
        <v>216</v>
      </c>
      <c r="H248" s="34">
        <v>216</v>
      </c>
      <c r="I248" s="34">
        <v>216</v>
      </c>
      <c r="J248" s="34">
        <v>216</v>
      </c>
      <c r="K248" s="34">
        <v>216</v>
      </c>
      <c r="L248" s="34">
        <v>216</v>
      </c>
      <c r="M248" s="34">
        <v>216</v>
      </c>
      <c r="N248" s="34">
        <v>216</v>
      </c>
      <c r="O248" s="34">
        <v>216</v>
      </c>
      <c r="P248" s="34">
        <v>216</v>
      </c>
      <c r="Q248" s="34">
        <v>216</v>
      </c>
      <c r="R248" s="34">
        <v>216</v>
      </c>
      <c r="S248" s="34">
        <v>216</v>
      </c>
      <c r="T248" s="35">
        <v>216</v>
      </c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x14ac:dyDescent="0.35">
      <c r="A249" s="36" t="s">
        <v>24</v>
      </c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x14ac:dyDescent="0.35">
      <c r="A250" s="36" t="s">
        <v>25</v>
      </c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x14ac:dyDescent="0.35">
      <c r="A252" s="1" t="s">
        <v>2</v>
      </c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2"/>
      <c r="W252" s="2"/>
      <c r="X252" s="2"/>
      <c r="Y252" s="2"/>
      <c r="Z252" s="2"/>
      <c r="AA252" s="2"/>
      <c r="AB252" s="2"/>
      <c r="AC252" s="2"/>
    </row>
    <row r="253" spans="1:29" ht="35.5" x14ac:dyDescent="0.35">
      <c r="A253" s="3" t="s">
        <v>1</v>
      </c>
      <c r="B253" s="3"/>
      <c r="C253" s="4" t="s">
        <v>85</v>
      </c>
      <c r="D253" s="5" t="s">
        <v>86</v>
      </c>
      <c r="E253" s="5" t="s">
        <v>87</v>
      </c>
      <c r="F253" s="5" t="s">
        <v>88</v>
      </c>
      <c r="G253" s="5" t="s">
        <v>89</v>
      </c>
      <c r="H253" s="5" t="s">
        <v>90</v>
      </c>
      <c r="I253" s="5" t="s">
        <v>91</v>
      </c>
      <c r="J253" s="5" t="s">
        <v>92</v>
      </c>
      <c r="K253" s="5" t="s">
        <v>93</v>
      </c>
      <c r="L253" s="5" t="s">
        <v>94</v>
      </c>
      <c r="M253" s="5" t="s">
        <v>95</v>
      </c>
      <c r="N253" s="5" t="s">
        <v>96</v>
      </c>
      <c r="O253" s="5" t="s">
        <v>97</v>
      </c>
      <c r="P253" s="5" t="s">
        <v>98</v>
      </c>
      <c r="Q253" s="5" t="s">
        <v>99</v>
      </c>
      <c r="R253" s="5" t="s">
        <v>100</v>
      </c>
      <c r="S253" s="5" t="s">
        <v>101</v>
      </c>
      <c r="T253" s="5" t="s">
        <v>102</v>
      </c>
      <c r="U253" s="6" t="s">
        <v>103</v>
      </c>
      <c r="V253" s="2"/>
      <c r="W253" s="38" t="s">
        <v>0</v>
      </c>
      <c r="X253" s="38" t="s">
        <v>130</v>
      </c>
      <c r="Y253" s="38" t="s">
        <v>131</v>
      </c>
      <c r="Z253" s="38" t="s">
        <v>132</v>
      </c>
      <c r="AA253" s="2"/>
      <c r="AB253" s="2"/>
      <c r="AC253" s="2"/>
    </row>
    <row r="254" spans="1:29" ht="34.5" x14ac:dyDescent="0.35">
      <c r="A254" s="7" t="s">
        <v>85</v>
      </c>
      <c r="B254" s="8" t="s">
        <v>21</v>
      </c>
      <c r="C254" s="9">
        <v>1</v>
      </c>
      <c r="D254" s="10" t="s">
        <v>484</v>
      </c>
      <c r="E254" s="10" t="s">
        <v>155</v>
      </c>
      <c r="F254" s="10" t="s">
        <v>375</v>
      </c>
      <c r="G254" s="10" t="s">
        <v>485</v>
      </c>
      <c r="H254" s="10" t="s">
        <v>271</v>
      </c>
      <c r="I254" s="10" t="s">
        <v>486</v>
      </c>
      <c r="J254" s="11">
        <v>0.12576951117015364</v>
      </c>
      <c r="K254" s="11">
        <v>7.0535052846761773E-2</v>
      </c>
      <c r="L254" s="11">
        <v>3.4332300732225339E-2</v>
      </c>
      <c r="M254" s="11">
        <v>0.13288996242690637</v>
      </c>
      <c r="N254" s="11">
        <v>0.12981725486525569</v>
      </c>
      <c r="O254" s="10" t="s">
        <v>487</v>
      </c>
      <c r="P254" s="11">
        <v>3.5097295982969248E-2</v>
      </c>
      <c r="Q254" s="11">
        <v>-2.3071644031560885E-2</v>
      </c>
      <c r="R254" s="11">
        <v>3.9578048449740783E-4</v>
      </c>
      <c r="S254" s="10" t="s">
        <v>488</v>
      </c>
      <c r="T254" s="11">
        <v>0.1090791651435042</v>
      </c>
      <c r="U254" s="12" t="s">
        <v>213</v>
      </c>
      <c r="V254" s="2"/>
      <c r="W254" s="37" t="str" cm="1">
        <f t="array" ref="W254">INDEX(A:A, (ROW()*3)-(ROW($W$254)*2))</f>
        <v>TSD1</v>
      </c>
      <c r="X254" s="37" t="str" cm="1">
        <f t="array" ref="X254">INDEX(U:U, (ROW()*3)-(ROW($W$254)*2))</f>
        <v>0,384**</v>
      </c>
      <c r="Y254" s="39" cm="1">
        <f t="array" ref="Y254">INDEX(U:U, (ROW()*3)-(ROW($W$254)*2)+1)</f>
        <v>5.2445908153520141E-9</v>
      </c>
      <c r="Z254" s="37" t="str">
        <f>IF(Y254&lt;0.05,"Valid","Tidak Valid")</f>
        <v>Valid</v>
      </c>
      <c r="AA254" s="2"/>
      <c r="AB254" s="2"/>
      <c r="AC254" s="2"/>
    </row>
    <row r="255" spans="1:29" ht="23" x14ac:dyDescent="0.35">
      <c r="A255" s="13"/>
      <c r="B255" s="14" t="s">
        <v>22</v>
      </c>
      <c r="C255" s="15"/>
      <c r="D255" s="16">
        <v>2.1159573665023978E-7</v>
      </c>
      <c r="E255" s="16">
        <v>3.6734694336501518E-3</v>
      </c>
      <c r="F255" s="16">
        <v>3.1999969308608551E-3</v>
      </c>
      <c r="G255" s="16">
        <v>9.0498780231360234E-3</v>
      </c>
      <c r="H255" s="16">
        <v>7.2434504528463275E-4</v>
      </c>
      <c r="I255" s="16">
        <v>1.9362575668503822E-3</v>
      </c>
      <c r="J255" s="16">
        <v>6.5032560643267054E-2</v>
      </c>
      <c r="K255" s="16">
        <v>0.30210958391587894</v>
      </c>
      <c r="L255" s="16">
        <v>0.61580831426969929</v>
      </c>
      <c r="M255" s="16">
        <v>5.1128235837495754E-2</v>
      </c>
      <c r="N255" s="16">
        <v>5.6791238675978142E-2</v>
      </c>
      <c r="O255" s="16">
        <v>2.7942948847369847E-2</v>
      </c>
      <c r="P255" s="16">
        <v>0.60795983760765737</v>
      </c>
      <c r="Q255" s="16">
        <v>0.73599637001525542</v>
      </c>
      <c r="R255" s="16">
        <v>0.99538585148732495</v>
      </c>
      <c r="S255" s="16">
        <v>1.0633696013987229E-3</v>
      </c>
      <c r="T255" s="16">
        <v>0.10990924191059542</v>
      </c>
      <c r="U255" s="17">
        <v>5.2445908153520141E-9</v>
      </c>
      <c r="V255" s="2"/>
      <c r="W255" s="37" t="str" cm="1">
        <f t="array" ref="W255">INDEX(A:A, (ROW()*3)-(ROW($W$254)*2))</f>
        <v>TSD2</v>
      </c>
      <c r="X255" s="37" t="str" cm="1">
        <f t="array" ref="X255">INDEX(U:U, (ROW()*3)-(ROW($W$254)*2))</f>
        <v>0,529**</v>
      </c>
      <c r="Y255" s="39" cm="1">
        <f t="array" ref="Y255">INDEX(U:U, (ROW()*3)-(ROW($W$254)*2)+1)</f>
        <v>5.8111118223969853E-17</v>
      </c>
      <c r="Z255" s="37" t="str">
        <f t="shared" ref="Z255:Z271" si="4">IF(Y255&lt;0.05,"Valid","Tidak Valid")</f>
        <v>Valid</v>
      </c>
      <c r="AA255" s="2"/>
      <c r="AB255" s="2"/>
      <c r="AC255" s="2"/>
    </row>
    <row r="256" spans="1:29" x14ac:dyDescent="0.35">
      <c r="A256" s="18"/>
      <c r="B256" s="19" t="s">
        <v>23</v>
      </c>
      <c r="C256" s="20">
        <v>216</v>
      </c>
      <c r="D256" s="21">
        <v>216</v>
      </c>
      <c r="E256" s="21">
        <v>216</v>
      </c>
      <c r="F256" s="21">
        <v>216</v>
      </c>
      <c r="G256" s="21">
        <v>216</v>
      </c>
      <c r="H256" s="21">
        <v>216</v>
      </c>
      <c r="I256" s="21">
        <v>216</v>
      </c>
      <c r="J256" s="21">
        <v>216</v>
      </c>
      <c r="K256" s="21">
        <v>216</v>
      </c>
      <c r="L256" s="21">
        <v>216</v>
      </c>
      <c r="M256" s="21">
        <v>216</v>
      </c>
      <c r="N256" s="21">
        <v>216</v>
      </c>
      <c r="O256" s="21">
        <v>216</v>
      </c>
      <c r="P256" s="21">
        <v>216</v>
      </c>
      <c r="Q256" s="21">
        <v>216</v>
      </c>
      <c r="R256" s="21">
        <v>216</v>
      </c>
      <c r="S256" s="21">
        <v>216</v>
      </c>
      <c r="T256" s="21">
        <v>216</v>
      </c>
      <c r="U256" s="22">
        <v>216</v>
      </c>
      <c r="V256" s="2"/>
      <c r="W256" s="37" t="str" cm="1">
        <f t="array" ref="W256">INDEX(A:A, (ROW()*3)-(ROW($W$254)*2))</f>
        <v>TSD3</v>
      </c>
      <c r="X256" s="37" t="str" cm="1">
        <f t="array" ref="X256">INDEX(U:U, (ROW()*3)-(ROW($W$254)*2))</f>
        <v>0,619**</v>
      </c>
      <c r="Y256" s="39" cm="1">
        <f t="array" ref="Y256">INDEX(U:U, (ROW()*3)-(ROW($W$254)*2)+1)</f>
        <v>3.4002103342461787E-24</v>
      </c>
      <c r="Z256" s="37" t="str">
        <f t="shared" si="4"/>
        <v>Valid</v>
      </c>
      <c r="AA256" s="2"/>
      <c r="AB256" s="2"/>
      <c r="AC256" s="2"/>
    </row>
    <row r="257" spans="1:29" ht="34.5" x14ac:dyDescent="0.35">
      <c r="A257" s="18" t="s">
        <v>86</v>
      </c>
      <c r="B257" s="14" t="s">
        <v>21</v>
      </c>
      <c r="C257" s="23" t="s">
        <v>484</v>
      </c>
      <c r="D257" s="24">
        <v>1</v>
      </c>
      <c r="E257" s="25" t="s">
        <v>327</v>
      </c>
      <c r="F257" s="25" t="s">
        <v>451</v>
      </c>
      <c r="G257" s="25" t="s">
        <v>260</v>
      </c>
      <c r="H257" s="25" t="s">
        <v>179</v>
      </c>
      <c r="I257" s="25" t="s">
        <v>462</v>
      </c>
      <c r="J257" s="25" t="s">
        <v>184</v>
      </c>
      <c r="K257" s="16">
        <v>9.7080358591613236E-2</v>
      </c>
      <c r="L257" s="16">
        <v>0.1008166516275958</v>
      </c>
      <c r="M257" s="16">
        <v>7.0673421248213686E-2</v>
      </c>
      <c r="N257" s="25" t="s">
        <v>479</v>
      </c>
      <c r="O257" s="25" t="s">
        <v>260</v>
      </c>
      <c r="P257" s="25" t="s">
        <v>179</v>
      </c>
      <c r="Q257" s="25" t="s">
        <v>409</v>
      </c>
      <c r="R257" s="16">
        <v>6.6763844169651906E-2</v>
      </c>
      <c r="S257" s="16">
        <v>-2.0221787480233493E-2</v>
      </c>
      <c r="T257" s="25" t="s">
        <v>154</v>
      </c>
      <c r="U257" s="26" t="s">
        <v>513</v>
      </c>
      <c r="V257" s="2"/>
      <c r="W257" s="37" t="str" cm="1">
        <f t="array" ref="W257">INDEX(A:A, (ROW()*3)-(ROW($W$254)*2))</f>
        <v>TSD4</v>
      </c>
      <c r="X257" s="37" t="str" cm="1">
        <f t="array" ref="X257">INDEX(U:U, (ROW()*3)-(ROW($W$254)*2))</f>
        <v>0,559**</v>
      </c>
      <c r="Y257" s="39" cm="1">
        <f t="array" ref="Y257">INDEX(U:U, (ROW()*3)-(ROW($W$254)*2)+1)</f>
        <v>4.0164019672970612E-19</v>
      </c>
      <c r="Z257" s="37" t="str">
        <f t="shared" si="4"/>
        <v>Valid</v>
      </c>
      <c r="AA257" s="2"/>
      <c r="AB257" s="2"/>
      <c r="AC257" s="2"/>
    </row>
    <row r="258" spans="1:29" ht="23" x14ac:dyDescent="0.35">
      <c r="A258" s="13"/>
      <c r="B258" s="14" t="s">
        <v>22</v>
      </c>
      <c r="C258" s="27">
        <v>2.1159573665023978E-7</v>
      </c>
      <c r="D258" s="28"/>
      <c r="E258" s="16">
        <v>3.5251127047429527E-3</v>
      </c>
      <c r="F258" s="16">
        <v>9.4751279563493711E-24</v>
      </c>
      <c r="G258" s="16">
        <v>2.3260949554319733E-6</v>
      </c>
      <c r="H258" s="16">
        <v>2.7628630498970157E-3</v>
      </c>
      <c r="I258" s="16">
        <v>8.1110648286286864E-8</v>
      </c>
      <c r="J258" s="16">
        <v>6.1179751130529224E-3</v>
      </c>
      <c r="K258" s="16">
        <v>0.15506520973998358</v>
      </c>
      <c r="L258" s="16">
        <v>0.13971211734528488</v>
      </c>
      <c r="M258" s="16">
        <v>0.30115981269478292</v>
      </c>
      <c r="N258" s="16">
        <v>7.2508782287748546E-3</v>
      </c>
      <c r="O258" s="16">
        <v>2.2415730908013388E-6</v>
      </c>
      <c r="P258" s="16">
        <v>2.68459859296752E-3</v>
      </c>
      <c r="Q258" s="16">
        <v>2.5219965338250023E-3</v>
      </c>
      <c r="R258" s="16">
        <v>0.32875697549622196</v>
      </c>
      <c r="S258" s="16">
        <v>0.76760882647581219</v>
      </c>
      <c r="T258" s="16">
        <v>9.6228959061363604E-6</v>
      </c>
      <c r="U258" s="17">
        <v>5.8111118223969853E-17</v>
      </c>
      <c r="V258" s="2"/>
      <c r="W258" s="37" t="str" cm="1">
        <f t="array" ref="W258">INDEX(A:A, (ROW()*3)-(ROW($W$254)*2))</f>
        <v>TSD5</v>
      </c>
      <c r="X258" s="37" t="str" cm="1">
        <f t="array" ref="X258">INDEX(U:U, (ROW()*3)-(ROW($W$254)*2))</f>
        <v>0,575**</v>
      </c>
      <c r="Y258" s="39" cm="1">
        <f t="array" ref="Y258">INDEX(U:U, (ROW()*3)-(ROW($W$254)*2)+1)</f>
        <v>1.976642897346248E-20</v>
      </c>
      <c r="Z258" s="37" t="str">
        <f t="shared" si="4"/>
        <v>Valid</v>
      </c>
      <c r="AA258" s="2"/>
      <c r="AB258" s="2"/>
      <c r="AC258" s="2"/>
    </row>
    <row r="259" spans="1:29" x14ac:dyDescent="0.35">
      <c r="A259" s="18"/>
      <c r="B259" s="19" t="s">
        <v>23</v>
      </c>
      <c r="C259" s="20">
        <v>216</v>
      </c>
      <c r="D259" s="21">
        <v>216</v>
      </c>
      <c r="E259" s="21">
        <v>216</v>
      </c>
      <c r="F259" s="21">
        <v>216</v>
      </c>
      <c r="G259" s="21">
        <v>216</v>
      </c>
      <c r="H259" s="21">
        <v>216</v>
      </c>
      <c r="I259" s="21">
        <v>216</v>
      </c>
      <c r="J259" s="21">
        <v>216</v>
      </c>
      <c r="K259" s="21">
        <v>216</v>
      </c>
      <c r="L259" s="21">
        <v>216</v>
      </c>
      <c r="M259" s="21">
        <v>216</v>
      </c>
      <c r="N259" s="21">
        <v>216</v>
      </c>
      <c r="O259" s="21">
        <v>216</v>
      </c>
      <c r="P259" s="21">
        <v>216</v>
      </c>
      <c r="Q259" s="21">
        <v>216</v>
      </c>
      <c r="R259" s="21">
        <v>216</v>
      </c>
      <c r="S259" s="21">
        <v>216</v>
      </c>
      <c r="T259" s="21">
        <v>216</v>
      </c>
      <c r="U259" s="22">
        <v>216</v>
      </c>
      <c r="V259" s="2"/>
      <c r="W259" s="37" t="str" cm="1">
        <f t="array" ref="W259">INDEX(A:A, (ROW()*3)-(ROW($W$254)*2))</f>
        <v>TSD6</v>
      </c>
      <c r="X259" s="37" t="str" cm="1">
        <f t="array" ref="X259">INDEX(U:U, (ROW()*3)-(ROW($W$254)*2))</f>
        <v>0,484**</v>
      </c>
      <c r="Y259" s="39" cm="1">
        <f t="array" ref="Y259">INDEX(U:U, (ROW()*3)-(ROW($W$254)*2)+1)</f>
        <v>4.6014604044345761E-14</v>
      </c>
      <c r="Z259" s="37" t="str">
        <f t="shared" si="4"/>
        <v>Valid</v>
      </c>
      <c r="AA259" s="2"/>
      <c r="AB259" s="2"/>
      <c r="AC259" s="2"/>
    </row>
    <row r="260" spans="1:29" ht="34.5" x14ac:dyDescent="0.35">
      <c r="A260" s="18" t="s">
        <v>87</v>
      </c>
      <c r="B260" s="14" t="s">
        <v>21</v>
      </c>
      <c r="C260" s="23" t="s">
        <v>155</v>
      </c>
      <c r="D260" s="25" t="s">
        <v>327</v>
      </c>
      <c r="E260" s="24">
        <v>1</v>
      </c>
      <c r="F260" s="25" t="s">
        <v>390</v>
      </c>
      <c r="G260" s="25" t="s">
        <v>279</v>
      </c>
      <c r="H260" s="25" t="s">
        <v>160</v>
      </c>
      <c r="I260" s="25" t="s">
        <v>390</v>
      </c>
      <c r="J260" s="25" t="s">
        <v>198</v>
      </c>
      <c r="K260" s="25" t="s">
        <v>489</v>
      </c>
      <c r="L260" s="25" t="s">
        <v>490</v>
      </c>
      <c r="M260" s="25" t="s">
        <v>136</v>
      </c>
      <c r="N260" s="25" t="s">
        <v>383</v>
      </c>
      <c r="O260" s="25" t="s">
        <v>491</v>
      </c>
      <c r="P260" s="16">
        <v>0.11949791746260433</v>
      </c>
      <c r="Q260" s="25" t="s">
        <v>354</v>
      </c>
      <c r="R260" s="25" t="s">
        <v>195</v>
      </c>
      <c r="S260" s="25" t="s">
        <v>145</v>
      </c>
      <c r="T260" s="25" t="s">
        <v>492</v>
      </c>
      <c r="U260" s="26" t="s">
        <v>514</v>
      </c>
      <c r="V260" s="2"/>
      <c r="W260" s="37" t="str" cm="1">
        <f t="array" ref="W260">INDEX(A:A, (ROW()*3)-(ROW($W$254)*2))</f>
        <v>TSD7</v>
      </c>
      <c r="X260" s="37" t="str" cm="1">
        <f t="array" ref="X260">INDEX(U:U, (ROW()*3)-(ROW($W$254)*2))</f>
        <v>0,573**</v>
      </c>
      <c r="Y260" s="39" cm="1">
        <f t="array" ref="Y260">INDEX(U:U, (ROW()*3)-(ROW($W$254)*2)+1)</f>
        <v>3.2099407632417024E-20</v>
      </c>
      <c r="Z260" s="37" t="str">
        <f t="shared" si="4"/>
        <v>Valid</v>
      </c>
      <c r="AA260" s="2"/>
      <c r="AB260" s="2"/>
      <c r="AC260" s="2"/>
    </row>
    <row r="261" spans="1:29" ht="23" x14ac:dyDescent="0.35">
      <c r="A261" s="13"/>
      <c r="B261" s="14" t="s">
        <v>22</v>
      </c>
      <c r="C261" s="27">
        <v>3.6734694336501518E-3</v>
      </c>
      <c r="D261" s="16">
        <v>3.5251127047429527E-3</v>
      </c>
      <c r="E261" s="28"/>
      <c r="F261" s="16">
        <v>1.568731434313464E-3</v>
      </c>
      <c r="G261" s="16">
        <v>6.7315276363450489E-3</v>
      </c>
      <c r="H261" s="16">
        <v>1.9927615673349938E-4</v>
      </c>
      <c r="I261" s="16">
        <v>1.5925141286086556E-3</v>
      </c>
      <c r="J261" s="16">
        <v>4.4432815375036909E-28</v>
      </c>
      <c r="K261" s="16">
        <v>5.8393796243885547E-9</v>
      </c>
      <c r="L261" s="16">
        <v>1.3586251626491974E-18</v>
      </c>
      <c r="M261" s="16">
        <v>1.4987714587718869E-4</v>
      </c>
      <c r="N261" s="16">
        <v>1.171490908153619E-4</v>
      </c>
      <c r="O261" s="16">
        <v>7.0824989184596154E-4</v>
      </c>
      <c r="P261" s="16">
        <v>7.9714102773299697E-2</v>
      </c>
      <c r="Q261" s="16">
        <v>1.8236121231077732E-12</v>
      </c>
      <c r="R261" s="16">
        <v>2.2452804121718961E-2</v>
      </c>
      <c r="S261" s="16">
        <v>3.5241448509306251E-4</v>
      </c>
      <c r="T261" s="16">
        <v>1.0277461865338072E-3</v>
      </c>
      <c r="U261" s="17">
        <v>3.4002103342461787E-24</v>
      </c>
      <c r="V261" s="2"/>
      <c r="W261" s="37" t="str" cm="1">
        <f t="array" ref="W261">INDEX(A:A, (ROW()*3)-(ROW($W$254)*2))</f>
        <v>TSD8</v>
      </c>
      <c r="X261" s="37" t="str" cm="1">
        <f t="array" ref="X261">INDEX(U:U, (ROW()*3)-(ROW($W$254)*2))</f>
        <v>0,628**</v>
      </c>
      <c r="Y261" s="39" cm="1">
        <f t="array" ref="Y261">INDEX(U:U, (ROW()*3)-(ROW($W$254)*2)+1)</f>
        <v>4.5005340698373303E-25</v>
      </c>
      <c r="Z261" s="37" t="str">
        <f t="shared" si="4"/>
        <v>Valid</v>
      </c>
      <c r="AA261" s="2"/>
      <c r="AB261" s="2"/>
      <c r="AC261" s="2"/>
    </row>
    <row r="262" spans="1:29" x14ac:dyDescent="0.35">
      <c r="A262" s="18"/>
      <c r="B262" s="19" t="s">
        <v>23</v>
      </c>
      <c r="C262" s="20">
        <v>216</v>
      </c>
      <c r="D262" s="21">
        <v>216</v>
      </c>
      <c r="E262" s="21">
        <v>216</v>
      </c>
      <c r="F262" s="21">
        <v>216</v>
      </c>
      <c r="G262" s="21">
        <v>216</v>
      </c>
      <c r="H262" s="21">
        <v>216</v>
      </c>
      <c r="I262" s="21">
        <v>216</v>
      </c>
      <c r="J262" s="21">
        <v>216</v>
      </c>
      <c r="K262" s="21">
        <v>216</v>
      </c>
      <c r="L262" s="21">
        <v>216</v>
      </c>
      <c r="M262" s="21">
        <v>216</v>
      </c>
      <c r="N262" s="21">
        <v>216</v>
      </c>
      <c r="O262" s="21">
        <v>216</v>
      </c>
      <c r="P262" s="21">
        <v>216</v>
      </c>
      <c r="Q262" s="21">
        <v>216</v>
      </c>
      <c r="R262" s="21">
        <v>216</v>
      </c>
      <c r="S262" s="21">
        <v>216</v>
      </c>
      <c r="T262" s="21">
        <v>216</v>
      </c>
      <c r="U262" s="22">
        <v>216</v>
      </c>
      <c r="V262" s="2"/>
      <c r="W262" s="37" t="str" cm="1">
        <f t="array" ref="W262">INDEX(A:A, (ROW()*3)-(ROW($W$254)*2))</f>
        <v>TSD9</v>
      </c>
      <c r="X262" s="37" t="str" cm="1">
        <f t="array" ref="X262">INDEX(U:U, (ROW()*3)-(ROW($W$254)*2))</f>
        <v>0,620**</v>
      </c>
      <c r="Y262" s="39" cm="1">
        <f t="array" ref="Y262">INDEX(U:U, (ROW()*3)-(ROW($W$254)*2)+1)</f>
        <v>2.2884814381660305E-24</v>
      </c>
      <c r="Z262" s="37" t="str">
        <f t="shared" si="4"/>
        <v>Valid</v>
      </c>
      <c r="AA262" s="2"/>
      <c r="AB262" s="2"/>
      <c r="AC262" s="2"/>
    </row>
    <row r="263" spans="1:29" ht="34.5" x14ac:dyDescent="0.35">
      <c r="A263" s="18" t="s">
        <v>88</v>
      </c>
      <c r="B263" s="14" t="s">
        <v>21</v>
      </c>
      <c r="C263" s="23" t="s">
        <v>375</v>
      </c>
      <c r="D263" s="25" t="s">
        <v>451</v>
      </c>
      <c r="E263" s="25" t="s">
        <v>390</v>
      </c>
      <c r="F263" s="24">
        <v>1</v>
      </c>
      <c r="G263" s="25" t="s">
        <v>276</v>
      </c>
      <c r="H263" s="25" t="s">
        <v>332</v>
      </c>
      <c r="I263" s="25" t="s">
        <v>141</v>
      </c>
      <c r="J263" s="25" t="s">
        <v>493</v>
      </c>
      <c r="K263" s="25" t="s">
        <v>195</v>
      </c>
      <c r="L263" s="25" t="s">
        <v>312</v>
      </c>
      <c r="M263" s="16">
        <v>4.0427308314018646E-2</v>
      </c>
      <c r="N263" s="25" t="s">
        <v>396</v>
      </c>
      <c r="O263" s="25" t="s">
        <v>261</v>
      </c>
      <c r="P263" s="16">
        <v>0.11482938964347171</v>
      </c>
      <c r="Q263" s="25" t="s">
        <v>344</v>
      </c>
      <c r="R263" s="16">
        <v>1.6210697215324958E-3</v>
      </c>
      <c r="S263" s="16">
        <v>0.12957357609917475</v>
      </c>
      <c r="T263" s="25" t="s">
        <v>476</v>
      </c>
      <c r="U263" s="26" t="s">
        <v>515</v>
      </c>
      <c r="V263" s="2"/>
      <c r="W263" s="37" t="str" cm="1">
        <f t="array" ref="W263">INDEX(A:A, (ROW()*3)-(ROW($W$254)*2))</f>
        <v>TSD10</v>
      </c>
      <c r="X263" s="37" t="str" cm="1">
        <f t="array" ref="X263">INDEX(U:U, (ROW()*3)-(ROW($W$254)*2))</f>
        <v>0,563**</v>
      </c>
      <c r="Y263" s="39" cm="1">
        <f t="array" ref="Y263">INDEX(U:U, (ROW()*3)-(ROW($W$254)*2)+1)</f>
        <v>1.9736246565914014E-19</v>
      </c>
      <c r="Z263" s="37" t="str">
        <f t="shared" si="4"/>
        <v>Valid</v>
      </c>
      <c r="AA263" s="2"/>
      <c r="AB263" s="2"/>
      <c r="AC263" s="2"/>
    </row>
    <row r="264" spans="1:29" ht="23" x14ac:dyDescent="0.35">
      <c r="A264" s="13"/>
      <c r="B264" s="14" t="s">
        <v>22</v>
      </c>
      <c r="C264" s="27">
        <v>3.1999969308608551E-3</v>
      </c>
      <c r="D264" s="16">
        <v>9.4751279563493711E-24</v>
      </c>
      <c r="E264" s="16">
        <v>1.568731434313464E-3</v>
      </c>
      <c r="F264" s="28"/>
      <c r="G264" s="16">
        <v>1.944431378122663E-12</v>
      </c>
      <c r="H264" s="16">
        <v>1.5439172783811947E-2</v>
      </c>
      <c r="I264" s="16">
        <v>4.1274279850104429E-6</v>
      </c>
      <c r="J264" s="16">
        <v>1.8757105221086796E-4</v>
      </c>
      <c r="K264" s="16">
        <v>2.2699113507828151E-2</v>
      </c>
      <c r="L264" s="16">
        <v>1.0782365576191211E-4</v>
      </c>
      <c r="M264" s="16">
        <v>0.55455277035101702</v>
      </c>
      <c r="N264" s="16">
        <v>1.2891058216929947E-3</v>
      </c>
      <c r="O264" s="16">
        <v>1.5430556161085428E-9</v>
      </c>
      <c r="P264" s="16">
        <v>9.2293642792621963E-2</v>
      </c>
      <c r="Q264" s="16">
        <v>8.694303387384212E-3</v>
      </c>
      <c r="R264" s="16">
        <v>0.98110264736271935</v>
      </c>
      <c r="S264" s="16">
        <v>5.7261693003236726E-2</v>
      </c>
      <c r="T264" s="16">
        <v>1.4126332993826789E-6</v>
      </c>
      <c r="U264" s="17">
        <v>4.0164019672970612E-19</v>
      </c>
      <c r="V264" s="2"/>
      <c r="W264" s="37" t="str" cm="1">
        <f t="array" ref="W264">INDEX(A:A, (ROW()*3)-(ROW($W$254)*2))</f>
        <v>TSD11</v>
      </c>
      <c r="X264" s="37" t="str" cm="1">
        <f t="array" ref="X264">INDEX(U:U, (ROW()*3)-(ROW($W$254)*2))</f>
        <v>0,509**</v>
      </c>
      <c r="Y264" s="39" cm="1">
        <f t="array" ref="Y264">INDEX(U:U, (ROW()*3)-(ROW($W$254)*2)+1)</f>
        <v>1.1916641491506886E-15</v>
      </c>
      <c r="Z264" s="37" t="str">
        <f t="shared" si="4"/>
        <v>Valid</v>
      </c>
      <c r="AA264" s="2"/>
      <c r="AB264" s="2"/>
      <c r="AC264" s="2"/>
    </row>
    <row r="265" spans="1:29" x14ac:dyDescent="0.35">
      <c r="A265" s="18"/>
      <c r="B265" s="19" t="s">
        <v>23</v>
      </c>
      <c r="C265" s="20">
        <v>216</v>
      </c>
      <c r="D265" s="21">
        <v>216</v>
      </c>
      <c r="E265" s="21">
        <v>216</v>
      </c>
      <c r="F265" s="21">
        <v>216</v>
      </c>
      <c r="G265" s="21">
        <v>216</v>
      </c>
      <c r="H265" s="21">
        <v>216</v>
      </c>
      <c r="I265" s="21">
        <v>216</v>
      </c>
      <c r="J265" s="21">
        <v>216</v>
      </c>
      <c r="K265" s="21">
        <v>216</v>
      </c>
      <c r="L265" s="21">
        <v>216</v>
      </c>
      <c r="M265" s="21">
        <v>216</v>
      </c>
      <c r="N265" s="21">
        <v>216</v>
      </c>
      <c r="O265" s="21">
        <v>216</v>
      </c>
      <c r="P265" s="21">
        <v>216</v>
      </c>
      <c r="Q265" s="21">
        <v>216</v>
      </c>
      <c r="R265" s="21">
        <v>216</v>
      </c>
      <c r="S265" s="21">
        <v>216</v>
      </c>
      <c r="T265" s="21">
        <v>216</v>
      </c>
      <c r="U265" s="22">
        <v>216</v>
      </c>
      <c r="V265" s="2"/>
      <c r="W265" s="37" t="str" cm="1">
        <f t="array" ref="W265">INDEX(A:A, (ROW()*3)-(ROW($W$254)*2))</f>
        <v>TSD12</v>
      </c>
      <c r="X265" s="37" t="str" cm="1">
        <f t="array" ref="X265">INDEX(U:U, (ROW()*3)-(ROW($W$254)*2))</f>
        <v>0,540**</v>
      </c>
      <c r="Y265" s="39" cm="1">
        <f t="array" ref="Y265">INDEX(U:U, (ROW()*3)-(ROW($W$254)*2)+1)</f>
        <v>9.515207231497705E-18</v>
      </c>
      <c r="Z265" s="37" t="str">
        <f t="shared" si="4"/>
        <v>Valid</v>
      </c>
      <c r="AA265" s="2"/>
      <c r="AB265" s="2"/>
      <c r="AC265" s="2"/>
    </row>
    <row r="266" spans="1:29" ht="34.5" x14ac:dyDescent="0.35">
      <c r="A266" s="18" t="s">
        <v>89</v>
      </c>
      <c r="B266" s="14" t="s">
        <v>21</v>
      </c>
      <c r="C266" s="23" t="s">
        <v>485</v>
      </c>
      <c r="D266" s="25" t="s">
        <v>260</v>
      </c>
      <c r="E266" s="25" t="s">
        <v>279</v>
      </c>
      <c r="F266" s="25" t="s">
        <v>276</v>
      </c>
      <c r="G266" s="24">
        <v>1</v>
      </c>
      <c r="H266" s="25" t="s">
        <v>494</v>
      </c>
      <c r="I266" s="25" t="s">
        <v>495</v>
      </c>
      <c r="J266" s="25" t="s">
        <v>465</v>
      </c>
      <c r="K266" s="25" t="s">
        <v>323</v>
      </c>
      <c r="L266" s="25" t="s">
        <v>231</v>
      </c>
      <c r="M266" s="16">
        <v>0.11229422069092351</v>
      </c>
      <c r="N266" s="25" t="s">
        <v>408</v>
      </c>
      <c r="O266" s="25" t="s">
        <v>496</v>
      </c>
      <c r="P266" s="25" t="s">
        <v>487</v>
      </c>
      <c r="Q266" s="25" t="s">
        <v>144</v>
      </c>
      <c r="R266" s="16">
        <v>-4.3946161767934325E-2</v>
      </c>
      <c r="S266" s="16">
        <v>0.13209501460070189</v>
      </c>
      <c r="T266" s="25" t="s">
        <v>400</v>
      </c>
      <c r="U266" s="26" t="s">
        <v>516</v>
      </c>
      <c r="V266" s="2"/>
      <c r="W266" s="37" t="str" cm="1">
        <f t="array" ref="W266">INDEX(A:A, (ROW()*3)-(ROW($W$254)*2))</f>
        <v>TSD13</v>
      </c>
      <c r="X266" s="37" t="str" cm="1">
        <f t="array" ref="X266">INDEX(U:U, (ROW()*3)-(ROW($W$254)*2))</f>
        <v>0,550**</v>
      </c>
      <c r="Y266" s="39" cm="1">
        <f t="array" ref="Y266">INDEX(U:U, (ROW()*3)-(ROW($W$254)*2)+1)</f>
        <v>1.6895462750253799E-18</v>
      </c>
      <c r="Z266" s="37" t="str">
        <f t="shared" si="4"/>
        <v>Valid</v>
      </c>
      <c r="AA266" s="2"/>
      <c r="AB266" s="2"/>
      <c r="AC266" s="2"/>
    </row>
    <row r="267" spans="1:29" ht="23" x14ac:dyDescent="0.35">
      <c r="A267" s="13"/>
      <c r="B267" s="14" t="s">
        <v>22</v>
      </c>
      <c r="C267" s="27">
        <v>9.0498780231360234E-3</v>
      </c>
      <c r="D267" s="16">
        <v>2.3260949554319733E-6</v>
      </c>
      <c r="E267" s="16">
        <v>6.7315276363450489E-3</v>
      </c>
      <c r="F267" s="16">
        <v>1.944431378122663E-12</v>
      </c>
      <c r="G267" s="28"/>
      <c r="H267" s="16">
        <v>1.1908755097902947E-8</v>
      </c>
      <c r="I267" s="16">
        <v>3.0492848432268009E-23</v>
      </c>
      <c r="J267" s="16">
        <v>2.68276791380558E-2</v>
      </c>
      <c r="K267" s="16">
        <v>3.4081625899728789E-5</v>
      </c>
      <c r="L267" s="16">
        <v>7.2372461574249348E-6</v>
      </c>
      <c r="M267" s="16">
        <v>9.9760631159562851E-2</v>
      </c>
      <c r="N267" s="16">
        <v>4.4194026000883763E-2</v>
      </c>
      <c r="O267" s="16">
        <v>4.3371824562899162E-12</v>
      </c>
      <c r="P267" s="16">
        <v>2.7638046870534557E-2</v>
      </c>
      <c r="Q267" s="16">
        <v>2.356555971917237E-4</v>
      </c>
      <c r="R267" s="16">
        <v>0.52058960231285734</v>
      </c>
      <c r="S267" s="16">
        <v>5.2546293411234929E-2</v>
      </c>
      <c r="T267" s="16">
        <v>1.6064591974468368E-4</v>
      </c>
      <c r="U267" s="17">
        <v>1.976642897346248E-20</v>
      </c>
      <c r="V267" s="2"/>
      <c r="W267" s="37" t="str" cm="1">
        <f t="array" ref="W267">INDEX(A:A, (ROW()*3)-(ROW($W$254)*2))</f>
        <v>TSD14</v>
      </c>
      <c r="X267" s="37" t="str" cm="1">
        <f t="array" ref="X267">INDEX(U:U, (ROW()*3)-(ROW($W$254)*2))</f>
        <v>0,329**</v>
      </c>
      <c r="Y267" s="39" cm="1">
        <f t="array" ref="Y267">INDEX(U:U, (ROW()*3)-(ROW($W$254)*2)+1)</f>
        <v>7.5793270302090596E-7</v>
      </c>
      <c r="Z267" s="37" t="str">
        <f t="shared" si="4"/>
        <v>Valid</v>
      </c>
      <c r="AA267" s="2"/>
      <c r="AB267" s="2"/>
      <c r="AC267" s="2"/>
    </row>
    <row r="268" spans="1:29" x14ac:dyDescent="0.35">
      <c r="A268" s="18"/>
      <c r="B268" s="19" t="s">
        <v>23</v>
      </c>
      <c r="C268" s="20">
        <v>216</v>
      </c>
      <c r="D268" s="21">
        <v>216</v>
      </c>
      <c r="E268" s="21">
        <v>216</v>
      </c>
      <c r="F268" s="21">
        <v>216</v>
      </c>
      <c r="G268" s="21">
        <v>216</v>
      </c>
      <c r="H268" s="21">
        <v>216</v>
      </c>
      <c r="I268" s="21">
        <v>216</v>
      </c>
      <c r="J268" s="21">
        <v>216</v>
      </c>
      <c r="K268" s="21">
        <v>216</v>
      </c>
      <c r="L268" s="21">
        <v>216</v>
      </c>
      <c r="M268" s="21">
        <v>216</v>
      </c>
      <c r="N268" s="21">
        <v>216</v>
      </c>
      <c r="O268" s="21">
        <v>216</v>
      </c>
      <c r="P268" s="21">
        <v>216</v>
      </c>
      <c r="Q268" s="21">
        <v>216</v>
      </c>
      <c r="R268" s="21">
        <v>216</v>
      </c>
      <c r="S268" s="21">
        <v>216</v>
      </c>
      <c r="T268" s="21">
        <v>216</v>
      </c>
      <c r="U268" s="22">
        <v>216</v>
      </c>
      <c r="V268" s="2"/>
      <c r="W268" s="37" t="str" cm="1">
        <f t="array" ref="W268">INDEX(A:A, (ROW()*3)-(ROW($W$254)*2))</f>
        <v>TSD15</v>
      </c>
      <c r="X268" s="37" t="str" cm="1">
        <f t="array" ref="X268">INDEX(U:U, (ROW()*3)-(ROW($W$254)*2))</f>
        <v>0,550**</v>
      </c>
      <c r="Y268" s="39" cm="1">
        <f t="array" ref="Y268">INDEX(U:U, (ROW()*3)-(ROW($W$254)*2)+1)</f>
        <v>1.6786155979841064E-18</v>
      </c>
      <c r="Z268" s="37" t="str">
        <f t="shared" si="4"/>
        <v>Valid</v>
      </c>
      <c r="AA268" s="2"/>
      <c r="AB268" s="2"/>
      <c r="AC268" s="2"/>
    </row>
    <row r="269" spans="1:29" ht="34.5" x14ac:dyDescent="0.35">
      <c r="A269" s="18" t="s">
        <v>90</v>
      </c>
      <c r="B269" s="14" t="s">
        <v>21</v>
      </c>
      <c r="C269" s="23" t="s">
        <v>271</v>
      </c>
      <c r="D269" s="25" t="s">
        <v>179</v>
      </c>
      <c r="E269" s="25" t="s">
        <v>160</v>
      </c>
      <c r="F269" s="25" t="s">
        <v>332</v>
      </c>
      <c r="G269" s="25" t="s">
        <v>494</v>
      </c>
      <c r="H269" s="24">
        <v>1</v>
      </c>
      <c r="I269" s="25" t="s">
        <v>208</v>
      </c>
      <c r="J269" s="25" t="s">
        <v>215</v>
      </c>
      <c r="K269" s="25" t="s">
        <v>250</v>
      </c>
      <c r="L269" s="25" t="s">
        <v>209</v>
      </c>
      <c r="M269" s="16">
        <v>6.6370475073945154E-2</v>
      </c>
      <c r="N269" s="16">
        <v>4.2981688834473418E-2</v>
      </c>
      <c r="O269" s="25" t="s">
        <v>159</v>
      </c>
      <c r="P269" s="25" t="s">
        <v>145</v>
      </c>
      <c r="Q269" s="25" t="s">
        <v>400</v>
      </c>
      <c r="R269" s="16">
        <v>3.9008022259832999E-2</v>
      </c>
      <c r="S269" s="16">
        <v>-7.5227429637267414E-3</v>
      </c>
      <c r="T269" s="25" t="s">
        <v>308</v>
      </c>
      <c r="U269" s="26" t="s">
        <v>437</v>
      </c>
      <c r="V269" s="2"/>
      <c r="W269" s="37" t="str" cm="1">
        <f t="array" ref="W269">INDEX(A:A, (ROW()*3)-(ROW($W$254)*2))</f>
        <v>TSD16</v>
      </c>
      <c r="X269" s="37" t="str" cm="1">
        <f t="array" ref="X269">INDEX(U:U, (ROW()*3)-(ROW($W$254)*2))</f>
        <v>0,359**</v>
      </c>
      <c r="Y269" s="39" cm="1">
        <f t="array" ref="Y269">INDEX(U:U, (ROW()*3)-(ROW($W$254)*2)+1)</f>
        <v>5.4737334394178054E-8</v>
      </c>
      <c r="Z269" s="37" t="str">
        <f t="shared" si="4"/>
        <v>Valid</v>
      </c>
      <c r="AA269" s="2"/>
      <c r="AB269" s="2"/>
      <c r="AC269" s="2"/>
    </row>
    <row r="270" spans="1:29" ht="23" x14ac:dyDescent="0.35">
      <c r="A270" s="13"/>
      <c r="B270" s="14" t="s">
        <v>22</v>
      </c>
      <c r="C270" s="27">
        <v>7.2434504528463275E-4</v>
      </c>
      <c r="D270" s="16">
        <v>2.7628630498970157E-3</v>
      </c>
      <c r="E270" s="16">
        <v>1.9927615673349938E-4</v>
      </c>
      <c r="F270" s="16">
        <v>1.5439172783811947E-2</v>
      </c>
      <c r="G270" s="16">
        <v>1.1908755097902947E-8</v>
      </c>
      <c r="H270" s="28"/>
      <c r="I270" s="16">
        <v>3.099492232002286E-10</v>
      </c>
      <c r="J270" s="16">
        <v>1.7509236173793404E-2</v>
      </c>
      <c r="K270" s="16">
        <v>1.6558171589820596E-5</v>
      </c>
      <c r="L270" s="16">
        <v>4.5455428840204102E-5</v>
      </c>
      <c r="M270" s="16">
        <v>0.33162112616657025</v>
      </c>
      <c r="N270" s="16">
        <v>0.52979154501919945</v>
      </c>
      <c r="O270" s="16">
        <v>7.671341723419127E-4</v>
      </c>
      <c r="P270" s="16">
        <v>3.4463909776007656E-4</v>
      </c>
      <c r="Q270" s="16">
        <v>1.597977739550845E-4</v>
      </c>
      <c r="R270" s="16">
        <v>0.5685495070992046</v>
      </c>
      <c r="S270" s="16">
        <v>0.91247178006799767</v>
      </c>
      <c r="T270" s="16">
        <v>3.0891015583228487E-4</v>
      </c>
      <c r="U270" s="17">
        <v>4.6014604044345761E-14</v>
      </c>
      <c r="V270" s="2"/>
      <c r="W270" s="37" t="str" cm="1">
        <f t="array" ref="W270">INDEX(A:A, (ROW()*3)-(ROW($W$254)*2))</f>
        <v>TSD17</v>
      </c>
      <c r="X270" s="37" t="str" cm="1">
        <f t="array" ref="X270">INDEX(U:U, (ROW()*3)-(ROW($W$254)*2))</f>
        <v>0,402**</v>
      </c>
      <c r="Y270" s="39" cm="1">
        <f t="array" ref="Y270">INDEX(U:U, (ROW()*3)-(ROW($W$254)*2)+1)</f>
        <v>8.8615550976874204E-10</v>
      </c>
      <c r="Z270" s="37" t="str">
        <f t="shared" si="4"/>
        <v>Valid</v>
      </c>
      <c r="AA270" s="2"/>
      <c r="AB270" s="2"/>
      <c r="AC270" s="2"/>
    </row>
    <row r="271" spans="1:29" x14ac:dyDescent="0.35">
      <c r="A271" s="18"/>
      <c r="B271" s="19" t="s">
        <v>23</v>
      </c>
      <c r="C271" s="20">
        <v>216</v>
      </c>
      <c r="D271" s="21">
        <v>216</v>
      </c>
      <c r="E271" s="21">
        <v>216</v>
      </c>
      <c r="F271" s="21">
        <v>216</v>
      </c>
      <c r="G271" s="21">
        <v>216</v>
      </c>
      <c r="H271" s="21">
        <v>216</v>
      </c>
      <c r="I271" s="21">
        <v>216</v>
      </c>
      <c r="J271" s="21">
        <v>216</v>
      </c>
      <c r="K271" s="21">
        <v>216</v>
      </c>
      <c r="L271" s="21">
        <v>216</v>
      </c>
      <c r="M271" s="21">
        <v>216</v>
      </c>
      <c r="N271" s="21">
        <v>216</v>
      </c>
      <c r="O271" s="21">
        <v>216</v>
      </c>
      <c r="P271" s="21">
        <v>216</v>
      </c>
      <c r="Q271" s="21">
        <v>216</v>
      </c>
      <c r="R271" s="21">
        <v>216</v>
      </c>
      <c r="S271" s="21">
        <v>216</v>
      </c>
      <c r="T271" s="21">
        <v>216</v>
      </c>
      <c r="U271" s="22">
        <v>216</v>
      </c>
      <c r="V271" s="2"/>
      <c r="W271" s="37" t="str" cm="1">
        <f t="array" ref="W271">INDEX(A:A, (ROW()*3)-(ROW($W$254)*2))</f>
        <v>TSD18</v>
      </c>
      <c r="X271" s="37" t="str" cm="1">
        <f t="array" ref="X271">INDEX(U:U, (ROW()*3)-(ROW($W$254)*2))</f>
        <v>0,582**</v>
      </c>
      <c r="Y271" s="39" cm="1">
        <f t="array" ref="Y271">INDEX(U:U, (ROW()*3)-(ROW($W$254)*2)+1)</f>
        <v>5.2157803483345769E-21</v>
      </c>
      <c r="Z271" s="37" t="str">
        <f t="shared" si="4"/>
        <v>Valid</v>
      </c>
      <c r="AA271" s="2"/>
      <c r="AB271" s="2"/>
      <c r="AC271" s="2"/>
    </row>
    <row r="272" spans="1:29" ht="34.5" x14ac:dyDescent="0.35">
      <c r="A272" s="18" t="s">
        <v>91</v>
      </c>
      <c r="B272" s="14" t="s">
        <v>21</v>
      </c>
      <c r="C272" s="23" t="s">
        <v>486</v>
      </c>
      <c r="D272" s="25" t="s">
        <v>462</v>
      </c>
      <c r="E272" s="25" t="s">
        <v>390</v>
      </c>
      <c r="F272" s="25" t="s">
        <v>141</v>
      </c>
      <c r="G272" s="25" t="s">
        <v>495</v>
      </c>
      <c r="H272" s="25" t="s">
        <v>208</v>
      </c>
      <c r="I272" s="24">
        <v>1</v>
      </c>
      <c r="J272" s="25" t="s">
        <v>195</v>
      </c>
      <c r="K272" s="25" t="s">
        <v>497</v>
      </c>
      <c r="L272" s="25" t="s">
        <v>468</v>
      </c>
      <c r="M272" s="25" t="s">
        <v>464</v>
      </c>
      <c r="N272" s="25" t="s">
        <v>327</v>
      </c>
      <c r="O272" s="25" t="s">
        <v>498</v>
      </c>
      <c r="P272" s="16">
        <v>3.7399714316930947E-2</v>
      </c>
      <c r="Q272" s="25" t="s">
        <v>499</v>
      </c>
      <c r="R272" s="16">
        <v>-1.8057004876993125E-2</v>
      </c>
      <c r="S272" s="16">
        <v>1.7876057679712409E-2</v>
      </c>
      <c r="T272" s="25" t="s">
        <v>350</v>
      </c>
      <c r="U272" s="26" t="s">
        <v>517</v>
      </c>
      <c r="V272" s="2"/>
      <c r="W272" s="2"/>
      <c r="X272" s="2"/>
      <c r="Y272" s="2"/>
      <c r="Z272" s="2"/>
      <c r="AA272" s="2"/>
      <c r="AB272" s="2"/>
      <c r="AC272" s="2"/>
    </row>
    <row r="273" spans="1:29" ht="23" x14ac:dyDescent="0.35">
      <c r="A273" s="13"/>
      <c r="B273" s="14" t="s">
        <v>22</v>
      </c>
      <c r="C273" s="27">
        <v>1.9362575668503822E-3</v>
      </c>
      <c r="D273" s="16">
        <v>8.1110648286286864E-8</v>
      </c>
      <c r="E273" s="16">
        <v>1.5925141286086556E-3</v>
      </c>
      <c r="F273" s="16">
        <v>4.1274279850104429E-6</v>
      </c>
      <c r="G273" s="16">
        <v>3.0492848432268009E-23</v>
      </c>
      <c r="H273" s="16">
        <v>3.099492232002286E-10</v>
      </c>
      <c r="I273" s="28"/>
      <c r="J273" s="16">
        <v>2.2438251236615209E-2</v>
      </c>
      <c r="K273" s="16">
        <v>1.0421770728750491E-8</v>
      </c>
      <c r="L273" s="16">
        <v>1.8465060964197384E-2</v>
      </c>
      <c r="M273" s="16">
        <v>2.3268626972412281E-3</v>
      </c>
      <c r="N273" s="16">
        <v>3.442632420096417E-3</v>
      </c>
      <c r="O273" s="16">
        <v>9.0372023907094983E-33</v>
      </c>
      <c r="P273" s="16">
        <v>0.58461014542696732</v>
      </c>
      <c r="Q273" s="16">
        <v>1.022927209245619E-2</v>
      </c>
      <c r="R273" s="16">
        <v>0.79188446924430356</v>
      </c>
      <c r="S273" s="16">
        <v>0.79392305481843828</v>
      </c>
      <c r="T273" s="16">
        <v>1.1324668617803896E-3</v>
      </c>
      <c r="U273" s="17">
        <v>3.2099407632417024E-20</v>
      </c>
      <c r="V273" s="2"/>
      <c r="W273" s="2"/>
      <c r="X273" s="2"/>
      <c r="Y273" s="2"/>
      <c r="Z273" s="2"/>
      <c r="AA273" s="2"/>
      <c r="AB273" s="2"/>
      <c r="AC273" s="2"/>
    </row>
    <row r="274" spans="1:29" x14ac:dyDescent="0.35">
      <c r="A274" s="18"/>
      <c r="B274" s="19" t="s">
        <v>23</v>
      </c>
      <c r="C274" s="20">
        <v>216</v>
      </c>
      <c r="D274" s="21">
        <v>216</v>
      </c>
      <c r="E274" s="21">
        <v>216</v>
      </c>
      <c r="F274" s="21">
        <v>216</v>
      </c>
      <c r="G274" s="21">
        <v>216</v>
      </c>
      <c r="H274" s="21">
        <v>216</v>
      </c>
      <c r="I274" s="21">
        <v>216</v>
      </c>
      <c r="J274" s="21">
        <v>216</v>
      </c>
      <c r="K274" s="21">
        <v>216</v>
      </c>
      <c r="L274" s="21">
        <v>216</v>
      </c>
      <c r="M274" s="21">
        <v>216</v>
      </c>
      <c r="N274" s="21">
        <v>216</v>
      </c>
      <c r="O274" s="21">
        <v>216</v>
      </c>
      <c r="P274" s="21">
        <v>216</v>
      </c>
      <c r="Q274" s="21">
        <v>216</v>
      </c>
      <c r="R274" s="21">
        <v>216</v>
      </c>
      <c r="S274" s="21">
        <v>216</v>
      </c>
      <c r="T274" s="21">
        <v>216</v>
      </c>
      <c r="U274" s="22">
        <v>216</v>
      </c>
      <c r="V274" s="2"/>
      <c r="W274" s="2"/>
      <c r="X274" s="2"/>
      <c r="Y274" s="2"/>
      <c r="Z274" s="2"/>
      <c r="AA274" s="2"/>
      <c r="AB274" s="2"/>
      <c r="AC274" s="2"/>
    </row>
    <row r="275" spans="1:29" ht="34.5" x14ac:dyDescent="0.35">
      <c r="A275" s="18" t="s">
        <v>92</v>
      </c>
      <c r="B275" s="14" t="s">
        <v>21</v>
      </c>
      <c r="C275" s="27">
        <v>0.12576951117015364</v>
      </c>
      <c r="D275" s="25" t="s">
        <v>184</v>
      </c>
      <c r="E275" s="25" t="s">
        <v>198</v>
      </c>
      <c r="F275" s="25" t="s">
        <v>493</v>
      </c>
      <c r="G275" s="25" t="s">
        <v>465</v>
      </c>
      <c r="H275" s="25" t="s">
        <v>215</v>
      </c>
      <c r="I275" s="25" t="s">
        <v>195</v>
      </c>
      <c r="J275" s="24">
        <v>1</v>
      </c>
      <c r="K275" s="25" t="s">
        <v>188</v>
      </c>
      <c r="L275" s="25" t="s">
        <v>242</v>
      </c>
      <c r="M275" s="25" t="s">
        <v>447</v>
      </c>
      <c r="N275" s="25" t="s">
        <v>233</v>
      </c>
      <c r="O275" s="25" t="s">
        <v>256</v>
      </c>
      <c r="P275" s="25" t="s">
        <v>500</v>
      </c>
      <c r="Q275" s="25" t="s">
        <v>208</v>
      </c>
      <c r="R275" s="25" t="s">
        <v>422</v>
      </c>
      <c r="S275" s="25" t="s">
        <v>328</v>
      </c>
      <c r="T275" s="25" t="s">
        <v>210</v>
      </c>
      <c r="U275" s="26" t="s">
        <v>518</v>
      </c>
      <c r="V275" s="2"/>
      <c r="W275" s="2"/>
      <c r="X275" s="2"/>
      <c r="Y275" s="2"/>
      <c r="Z275" s="2"/>
      <c r="AA275" s="2"/>
      <c r="AB275" s="2"/>
      <c r="AC275" s="2"/>
    </row>
    <row r="276" spans="1:29" ht="23" x14ac:dyDescent="0.35">
      <c r="A276" s="13"/>
      <c r="B276" s="14" t="s">
        <v>22</v>
      </c>
      <c r="C276" s="27">
        <v>6.5032560643267054E-2</v>
      </c>
      <c r="D276" s="16">
        <v>6.1179751130529224E-3</v>
      </c>
      <c r="E276" s="16">
        <v>4.4432815375036909E-28</v>
      </c>
      <c r="F276" s="16">
        <v>1.8757105221086796E-4</v>
      </c>
      <c r="G276" s="16">
        <v>2.68276791380558E-2</v>
      </c>
      <c r="H276" s="16">
        <v>1.7509236173793404E-2</v>
      </c>
      <c r="I276" s="16">
        <v>2.2438251236615209E-2</v>
      </c>
      <c r="J276" s="28"/>
      <c r="K276" s="16">
        <v>1.7631040101665523E-11</v>
      </c>
      <c r="L276" s="16">
        <v>3.7820056243607778E-18</v>
      </c>
      <c r="M276" s="16">
        <v>8.3785076812323724E-9</v>
      </c>
      <c r="N276" s="16">
        <v>1.2009406139684969E-3</v>
      </c>
      <c r="O276" s="16">
        <v>5.3754751160001673E-5</v>
      </c>
      <c r="P276" s="16">
        <v>6.1992751781224354E-4</v>
      </c>
      <c r="Q276" s="16">
        <v>3.286852392525986E-10</v>
      </c>
      <c r="R276" s="16">
        <v>4.0102492341299752E-5</v>
      </c>
      <c r="S276" s="16">
        <v>1.5771802300529583E-5</v>
      </c>
      <c r="T276" s="16">
        <v>2.0354396764825219E-3</v>
      </c>
      <c r="U276" s="17">
        <v>4.5005340698373303E-25</v>
      </c>
      <c r="V276" s="2"/>
      <c r="W276" s="2"/>
      <c r="X276" s="2"/>
      <c r="Y276" s="2"/>
      <c r="Z276" s="2"/>
      <c r="AA276" s="2"/>
      <c r="AB276" s="2"/>
      <c r="AC276" s="2"/>
    </row>
    <row r="277" spans="1:29" x14ac:dyDescent="0.35">
      <c r="A277" s="18"/>
      <c r="B277" s="19" t="s">
        <v>23</v>
      </c>
      <c r="C277" s="20">
        <v>216</v>
      </c>
      <c r="D277" s="21">
        <v>216</v>
      </c>
      <c r="E277" s="21">
        <v>216</v>
      </c>
      <c r="F277" s="21">
        <v>216</v>
      </c>
      <c r="G277" s="21">
        <v>216</v>
      </c>
      <c r="H277" s="21">
        <v>216</v>
      </c>
      <c r="I277" s="21">
        <v>216</v>
      </c>
      <c r="J277" s="21">
        <v>216</v>
      </c>
      <c r="K277" s="21">
        <v>216</v>
      </c>
      <c r="L277" s="21">
        <v>216</v>
      </c>
      <c r="M277" s="21">
        <v>216</v>
      </c>
      <c r="N277" s="21">
        <v>216</v>
      </c>
      <c r="O277" s="21">
        <v>216</v>
      </c>
      <c r="P277" s="21">
        <v>216</v>
      </c>
      <c r="Q277" s="21">
        <v>216</v>
      </c>
      <c r="R277" s="21">
        <v>216</v>
      </c>
      <c r="S277" s="21">
        <v>216</v>
      </c>
      <c r="T277" s="21">
        <v>216</v>
      </c>
      <c r="U277" s="22">
        <v>216</v>
      </c>
      <c r="V277" s="2"/>
      <c r="W277" s="2"/>
      <c r="X277" s="2"/>
      <c r="Y277" s="2"/>
      <c r="Z277" s="2"/>
      <c r="AA277" s="2"/>
      <c r="AB277" s="2"/>
      <c r="AC277" s="2"/>
    </row>
    <row r="278" spans="1:29" ht="34.5" x14ac:dyDescent="0.35">
      <c r="A278" s="18" t="s">
        <v>93</v>
      </c>
      <c r="B278" s="14" t="s">
        <v>21</v>
      </c>
      <c r="C278" s="27">
        <v>7.0535052846761773E-2</v>
      </c>
      <c r="D278" s="16">
        <v>9.7080358591613236E-2</v>
      </c>
      <c r="E278" s="25" t="s">
        <v>489</v>
      </c>
      <c r="F278" s="25" t="s">
        <v>195</v>
      </c>
      <c r="G278" s="25" t="s">
        <v>323</v>
      </c>
      <c r="H278" s="25" t="s">
        <v>250</v>
      </c>
      <c r="I278" s="25" t="s">
        <v>497</v>
      </c>
      <c r="J278" s="25" t="s">
        <v>188</v>
      </c>
      <c r="K278" s="24">
        <v>1</v>
      </c>
      <c r="L278" s="25" t="s">
        <v>157</v>
      </c>
      <c r="M278" s="25" t="s">
        <v>232</v>
      </c>
      <c r="N278" s="25" t="s">
        <v>501</v>
      </c>
      <c r="O278" s="25" t="s">
        <v>323</v>
      </c>
      <c r="P278" s="25" t="s">
        <v>293</v>
      </c>
      <c r="Q278" s="25" t="s">
        <v>160</v>
      </c>
      <c r="R278" s="25" t="s">
        <v>247</v>
      </c>
      <c r="S278" s="16">
        <v>0.11782121610083406</v>
      </c>
      <c r="T278" s="25" t="s">
        <v>310</v>
      </c>
      <c r="U278" s="26" t="s">
        <v>272</v>
      </c>
      <c r="V278" s="2"/>
      <c r="W278" s="2"/>
      <c r="X278" s="2"/>
      <c r="Y278" s="2"/>
      <c r="Z278" s="2"/>
      <c r="AA278" s="2"/>
      <c r="AB278" s="2"/>
      <c r="AC278" s="2"/>
    </row>
    <row r="279" spans="1:29" ht="23" x14ac:dyDescent="0.35">
      <c r="A279" s="13"/>
      <c r="B279" s="14" t="s">
        <v>22</v>
      </c>
      <c r="C279" s="27">
        <v>0.30210958391587894</v>
      </c>
      <c r="D279" s="16">
        <v>0.15506520973998358</v>
      </c>
      <c r="E279" s="16">
        <v>5.8393796243885547E-9</v>
      </c>
      <c r="F279" s="16">
        <v>2.2699113507828151E-2</v>
      </c>
      <c r="G279" s="16">
        <v>3.4081625899728789E-5</v>
      </c>
      <c r="H279" s="16">
        <v>1.6558171589820596E-5</v>
      </c>
      <c r="I279" s="16">
        <v>1.0421770728750491E-8</v>
      </c>
      <c r="J279" s="16">
        <v>1.7631040101665523E-11</v>
      </c>
      <c r="K279" s="28"/>
      <c r="L279" s="16">
        <v>2.8884997451297873E-10</v>
      </c>
      <c r="M279" s="16">
        <v>1.6445531948171845E-30</v>
      </c>
      <c r="N279" s="16">
        <v>6.3404011738138963E-23</v>
      </c>
      <c r="O279" s="16">
        <v>3.3492944176424521E-5</v>
      </c>
      <c r="P279" s="16">
        <v>1.6255029408418034E-3</v>
      </c>
      <c r="Q279" s="16">
        <v>1.8915121821378293E-4</v>
      </c>
      <c r="R279" s="16">
        <v>1.6258446744609967E-2</v>
      </c>
      <c r="S279" s="16">
        <v>8.4062513628436517E-2</v>
      </c>
      <c r="T279" s="16">
        <v>1.5947415298610766E-8</v>
      </c>
      <c r="U279" s="17">
        <v>2.2884814381660305E-24</v>
      </c>
      <c r="V279" s="2"/>
      <c r="W279" s="2"/>
      <c r="X279" s="2"/>
      <c r="Y279" s="2"/>
      <c r="Z279" s="2"/>
      <c r="AA279" s="2"/>
      <c r="AB279" s="2"/>
      <c r="AC279" s="2"/>
    </row>
    <row r="280" spans="1:29" x14ac:dyDescent="0.35">
      <c r="A280" s="18"/>
      <c r="B280" s="19" t="s">
        <v>23</v>
      </c>
      <c r="C280" s="20">
        <v>216</v>
      </c>
      <c r="D280" s="21">
        <v>216</v>
      </c>
      <c r="E280" s="21">
        <v>216</v>
      </c>
      <c r="F280" s="21">
        <v>216</v>
      </c>
      <c r="G280" s="21">
        <v>216</v>
      </c>
      <c r="H280" s="21">
        <v>216</v>
      </c>
      <c r="I280" s="21">
        <v>216</v>
      </c>
      <c r="J280" s="21">
        <v>216</v>
      </c>
      <c r="K280" s="21">
        <v>216</v>
      </c>
      <c r="L280" s="21">
        <v>216</v>
      </c>
      <c r="M280" s="21">
        <v>216</v>
      </c>
      <c r="N280" s="21">
        <v>216</v>
      </c>
      <c r="O280" s="21">
        <v>216</v>
      </c>
      <c r="P280" s="21">
        <v>216</v>
      </c>
      <c r="Q280" s="21">
        <v>216</v>
      </c>
      <c r="R280" s="21">
        <v>216</v>
      </c>
      <c r="S280" s="21">
        <v>216</v>
      </c>
      <c r="T280" s="21">
        <v>216</v>
      </c>
      <c r="U280" s="22">
        <v>216</v>
      </c>
      <c r="V280" s="2"/>
      <c r="W280" s="2"/>
      <c r="X280" s="2"/>
      <c r="Y280" s="2"/>
      <c r="Z280" s="2"/>
      <c r="AA280" s="2"/>
      <c r="AB280" s="2"/>
      <c r="AC280" s="2"/>
    </row>
    <row r="281" spans="1:29" ht="34.5" x14ac:dyDescent="0.35">
      <c r="A281" s="18" t="s">
        <v>94</v>
      </c>
      <c r="B281" s="14" t="s">
        <v>21</v>
      </c>
      <c r="C281" s="27">
        <v>3.4332300732225339E-2</v>
      </c>
      <c r="D281" s="16">
        <v>0.1008166516275958</v>
      </c>
      <c r="E281" s="25" t="s">
        <v>490</v>
      </c>
      <c r="F281" s="25" t="s">
        <v>312</v>
      </c>
      <c r="G281" s="25" t="s">
        <v>231</v>
      </c>
      <c r="H281" s="25" t="s">
        <v>209</v>
      </c>
      <c r="I281" s="25" t="s">
        <v>468</v>
      </c>
      <c r="J281" s="25" t="s">
        <v>242</v>
      </c>
      <c r="K281" s="25" t="s">
        <v>157</v>
      </c>
      <c r="L281" s="24">
        <v>1</v>
      </c>
      <c r="M281" s="25" t="s">
        <v>474</v>
      </c>
      <c r="N281" s="25" t="s">
        <v>196</v>
      </c>
      <c r="O281" s="16">
        <v>0.11367370393228435</v>
      </c>
      <c r="P281" s="16">
        <v>4.3365742437987374E-2</v>
      </c>
      <c r="Q281" s="25" t="s">
        <v>310</v>
      </c>
      <c r="R281" s="25" t="s">
        <v>199</v>
      </c>
      <c r="S281" s="25" t="s">
        <v>461</v>
      </c>
      <c r="T281" s="25" t="s">
        <v>500</v>
      </c>
      <c r="U281" s="26" t="s">
        <v>257</v>
      </c>
      <c r="V281" s="2"/>
      <c r="W281" s="2"/>
      <c r="X281" s="2"/>
      <c r="Y281" s="2"/>
      <c r="Z281" s="2"/>
      <c r="AA281" s="2"/>
      <c r="AB281" s="2"/>
      <c r="AC281" s="2"/>
    </row>
    <row r="282" spans="1:29" ht="23" x14ac:dyDescent="0.35">
      <c r="A282" s="13"/>
      <c r="B282" s="14" t="s">
        <v>22</v>
      </c>
      <c r="C282" s="27">
        <v>0.61580831426969929</v>
      </c>
      <c r="D282" s="16">
        <v>0.13971211734528488</v>
      </c>
      <c r="E282" s="16">
        <v>1.3586251626491974E-18</v>
      </c>
      <c r="F282" s="16">
        <v>1.0782365576191211E-4</v>
      </c>
      <c r="G282" s="16">
        <v>7.2372461574249348E-6</v>
      </c>
      <c r="H282" s="16">
        <v>4.5455428840204102E-5</v>
      </c>
      <c r="I282" s="16">
        <v>1.8465060964197384E-2</v>
      </c>
      <c r="J282" s="16">
        <v>3.7820056243607778E-18</v>
      </c>
      <c r="K282" s="16">
        <v>2.8884997451297873E-10</v>
      </c>
      <c r="L282" s="28"/>
      <c r="M282" s="16">
        <v>8.1371504298180655E-6</v>
      </c>
      <c r="N282" s="16">
        <v>1.0640187429090472E-2</v>
      </c>
      <c r="O282" s="16">
        <v>9.5640331211354734E-2</v>
      </c>
      <c r="P282" s="16">
        <v>0.52611751434489928</v>
      </c>
      <c r="Q282" s="16">
        <v>1.5780476564487243E-8</v>
      </c>
      <c r="R282" s="16">
        <v>3.3622212637578999E-3</v>
      </c>
      <c r="S282" s="16">
        <v>6.7005479449002185E-4</v>
      </c>
      <c r="T282" s="16">
        <v>6.2600171276899882E-4</v>
      </c>
      <c r="U282" s="17">
        <v>1.9736246565914014E-19</v>
      </c>
      <c r="V282" s="2"/>
      <c r="W282" s="2"/>
      <c r="X282" s="2"/>
      <c r="Y282" s="2"/>
      <c r="Z282" s="2"/>
      <c r="AA282" s="2"/>
      <c r="AB282" s="2"/>
      <c r="AC282" s="2"/>
    </row>
    <row r="283" spans="1:29" x14ac:dyDescent="0.35">
      <c r="A283" s="18"/>
      <c r="B283" s="19" t="s">
        <v>23</v>
      </c>
      <c r="C283" s="20">
        <v>216</v>
      </c>
      <c r="D283" s="21">
        <v>216</v>
      </c>
      <c r="E283" s="21">
        <v>216</v>
      </c>
      <c r="F283" s="21">
        <v>216</v>
      </c>
      <c r="G283" s="21">
        <v>216</v>
      </c>
      <c r="H283" s="21">
        <v>216</v>
      </c>
      <c r="I283" s="21">
        <v>216</v>
      </c>
      <c r="J283" s="21">
        <v>216</v>
      </c>
      <c r="K283" s="21">
        <v>216</v>
      </c>
      <c r="L283" s="21">
        <v>216</v>
      </c>
      <c r="M283" s="21">
        <v>216</v>
      </c>
      <c r="N283" s="21">
        <v>216</v>
      </c>
      <c r="O283" s="21">
        <v>216</v>
      </c>
      <c r="P283" s="21">
        <v>216</v>
      </c>
      <c r="Q283" s="21">
        <v>216</v>
      </c>
      <c r="R283" s="21">
        <v>216</v>
      </c>
      <c r="S283" s="21">
        <v>216</v>
      </c>
      <c r="T283" s="21">
        <v>216</v>
      </c>
      <c r="U283" s="22">
        <v>216</v>
      </c>
      <c r="V283" s="2"/>
      <c r="W283" s="2"/>
      <c r="X283" s="2"/>
      <c r="Y283" s="2"/>
      <c r="Z283" s="2"/>
      <c r="AA283" s="2"/>
      <c r="AB283" s="2"/>
      <c r="AC283" s="2"/>
    </row>
    <row r="284" spans="1:29" ht="34.5" x14ac:dyDescent="0.35">
      <c r="A284" s="18" t="s">
        <v>95</v>
      </c>
      <c r="B284" s="14" t="s">
        <v>21</v>
      </c>
      <c r="C284" s="27">
        <v>0.13288996242690637</v>
      </c>
      <c r="D284" s="16">
        <v>7.0673421248213686E-2</v>
      </c>
      <c r="E284" s="25" t="s">
        <v>136</v>
      </c>
      <c r="F284" s="16">
        <v>4.0427308314018646E-2</v>
      </c>
      <c r="G284" s="16">
        <v>0.11229422069092351</v>
      </c>
      <c r="H284" s="16">
        <v>6.6370475073945154E-2</v>
      </c>
      <c r="I284" s="25" t="s">
        <v>464</v>
      </c>
      <c r="J284" s="25" t="s">
        <v>447</v>
      </c>
      <c r="K284" s="25" t="s">
        <v>232</v>
      </c>
      <c r="L284" s="25" t="s">
        <v>474</v>
      </c>
      <c r="M284" s="24">
        <v>1</v>
      </c>
      <c r="N284" s="25" t="s">
        <v>502</v>
      </c>
      <c r="O284" s="25" t="s">
        <v>503</v>
      </c>
      <c r="P284" s="25" t="s">
        <v>394</v>
      </c>
      <c r="Q284" s="25" t="s">
        <v>155</v>
      </c>
      <c r="R284" s="25" t="s">
        <v>504</v>
      </c>
      <c r="S284" s="16">
        <v>0.12263267667775453</v>
      </c>
      <c r="T284" s="25" t="s">
        <v>288</v>
      </c>
      <c r="U284" s="26" t="s">
        <v>364</v>
      </c>
      <c r="V284" s="2"/>
      <c r="W284" s="2"/>
      <c r="X284" s="2"/>
      <c r="Y284" s="2"/>
      <c r="Z284" s="2"/>
      <c r="AA284" s="2"/>
      <c r="AB284" s="2"/>
      <c r="AC284" s="2"/>
    </row>
    <row r="285" spans="1:29" ht="23" x14ac:dyDescent="0.35">
      <c r="A285" s="13"/>
      <c r="B285" s="14" t="s">
        <v>22</v>
      </c>
      <c r="C285" s="27">
        <v>5.1128235837495754E-2</v>
      </c>
      <c r="D285" s="16">
        <v>0.30115981269478292</v>
      </c>
      <c r="E285" s="16">
        <v>1.4987714587718869E-4</v>
      </c>
      <c r="F285" s="16">
        <v>0.55455277035101702</v>
      </c>
      <c r="G285" s="16">
        <v>9.9760631159562851E-2</v>
      </c>
      <c r="H285" s="16">
        <v>0.33162112616657025</v>
      </c>
      <c r="I285" s="16">
        <v>2.3268626972412281E-3</v>
      </c>
      <c r="J285" s="16">
        <v>8.3785076812323724E-9</v>
      </c>
      <c r="K285" s="16">
        <v>1.6445531948171845E-30</v>
      </c>
      <c r="L285" s="16">
        <v>8.1371504298180655E-6</v>
      </c>
      <c r="M285" s="28"/>
      <c r="N285" s="16">
        <v>8.7999248621343426E-23</v>
      </c>
      <c r="O285" s="16">
        <v>3.0368865200929927E-2</v>
      </c>
      <c r="P285" s="16">
        <v>1.3602628569168412E-2</v>
      </c>
      <c r="Q285" s="16">
        <v>3.7122726936361619E-3</v>
      </c>
      <c r="R285" s="16">
        <v>9.2042556126927218E-6</v>
      </c>
      <c r="S285" s="16">
        <v>7.2072186825087342E-2</v>
      </c>
      <c r="T285" s="16">
        <v>1.7866119739126145E-8</v>
      </c>
      <c r="U285" s="17">
        <v>1.1916641491506886E-15</v>
      </c>
      <c r="V285" s="2"/>
      <c r="W285" s="2"/>
      <c r="X285" s="2"/>
      <c r="Y285" s="2"/>
      <c r="Z285" s="2"/>
      <c r="AA285" s="2"/>
      <c r="AB285" s="2"/>
      <c r="AC285" s="2"/>
    </row>
    <row r="286" spans="1:29" x14ac:dyDescent="0.35">
      <c r="A286" s="18"/>
      <c r="B286" s="19" t="s">
        <v>23</v>
      </c>
      <c r="C286" s="20">
        <v>216</v>
      </c>
      <c r="D286" s="21">
        <v>216</v>
      </c>
      <c r="E286" s="21">
        <v>216</v>
      </c>
      <c r="F286" s="21">
        <v>216</v>
      </c>
      <c r="G286" s="21">
        <v>216</v>
      </c>
      <c r="H286" s="21">
        <v>216</v>
      </c>
      <c r="I286" s="21">
        <v>216</v>
      </c>
      <c r="J286" s="21">
        <v>216</v>
      </c>
      <c r="K286" s="21">
        <v>216</v>
      </c>
      <c r="L286" s="21">
        <v>216</v>
      </c>
      <c r="M286" s="21">
        <v>216</v>
      </c>
      <c r="N286" s="21">
        <v>216</v>
      </c>
      <c r="O286" s="21">
        <v>216</v>
      </c>
      <c r="P286" s="21">
        <v>216</v>
      </c>
      <c r="Q286" s="21">
        <v>216</v>
      </c>
      <c r="R286" s="21">
        <v>216</v>
      </c>
      <c r="S286" s="21">
        <v>216</v>
      </c>
      <c r="T286" s="21">
        <v>216</v>
      </c>
      <c r="U286" s="22">
        <v>216</v>
      </c>
      <c r="V286" s="2"/>
      <c r="W286" s="2"/>
      <c r="X286" s="2"/>
      <c r="Y286" s="2"/>
      <c r="Z286" s="2"/>
      <c r="AA286" s="2"/>
      <c r="AB286" s="2"/>
      <c r="AC286" s="2"/>
    </row>
    <row r="287" spans="1:29" ht="34.5" x14ac:dyDescent="0.35">
      <c r="A287" s="18" t="s">
        <v>96</v>
      </c>
      <c r="B287" s="14" t="s">
        <v>21</v>
      </c>
      <c r="C287" s="27">
        <v>0.12981725486525569</v>
      </c>
      <c r="D287" s="25" t="s">
        <v>479</v>
      </c>
      <c r="E287" s="25" t="s">
        <v>383</v>
      </c>
      <c r="F287" s="25" t="s">
        <v>396</v>
      </c>
      <c r="G287" s="25" t="s">
        <v>408</v>
      </c>
      <c r="H287" s="16">
        <v>4.2981688834473418E-2</v>
      </c>
      <c r="I287" s="25" t="s">
        <v>327</v>
      </c>
      <c r="J287" s="25" t="s">
        <v>233</v>
      </c>
      <c r="K287" s="25" t="s">
        <v>501</v>
      </c>
      <c r="L287" s="25" t="s">
        <v>196</v>
      </c>
      <c r="M287" s="25" t="s">
        <v>502</v>
      </c>
      <c r="N287" s="24">
        <v>1</v>
      </c>
      <c r="O287" s="25" t="s">
        <v>505</v>
      </c>
      <c r="P287" s="16">
        <v>6.5772139479491232E-2</v>
      </c>
      <c r="Q287" s="25" t="s">
        <v>456</v>
      </c>
      <c r="R287" s="25" t="s">
        <v>506</v>
      </c>
      <c r="S287" s="25" t="s">
        <v>507</v>
      </c>
      <c r="T287" s="25" t="s">
        <v>508</v>
      </c>
      <c r="U287" s="26" t="s">
        <v>519</v>
      </c>
      <c r="V287" s="2"/>
      <c r="W287" s="2"/>
      <c r="X287" s="2"/>
      <c r="Y287" s="2"/>
      <c r="Z287" s="2"/>
      <c r="AA287" s="2"/>
      <c r="AB287" s="2"/>
      <c r="AC287" s="2"/>
    </row>
    <row r="288" spans="1:29" ht="23" x14ac:dyDescent="0.35">
      <c r="A288" s="13"/>
      <c r="B288" s="14" t="s">
        <v>22</v>
      </c>
      <c r="C288" s="27">
        <v>5.6791238675978142E-2</v>
      </c>
      <c r="D288" s="16">
        <v>7.2508782287748546E-3</v>
      </c>
      <c r="E288" s="16">
        <v>1.171490908153619E-4</v>
      </c>
      <c r="F288" s="16">
        <v>1.2891058216929947E-3</v>
      </c>
      <c r="G288" s="16">
        <v>4.4194026000883763E-2</v>
      </c>
      <c r="H288" s="16">
        <v>0.52979154501919945</v>
      </c>
      <c r="I288" s="16">
        <v>3.442632420096417E-3</v>
      </c>
      <c r="J288" s="16">
        <v>1.2009406139684969E-3</v>
      </c>
      <c r="K288" s="16">
        <v>6.3404011738138963E-23</v>
      </c>
      <c r="L288" s="16">
        <v>1.0640187429090472E-2</v>
      </c>
      <c r="M288" s="16">
        <v>8.7999248621343426E-23</v>
      </c>
      <c r="N288" s="28"/>
      <c r="O288" s="16">
        <v>6.719549718951819E-5</v>
      </c>
      <c r="P288" s="16">
        <v>0.33600826584902754</v>
      </c>
      <c r="Q288" s="16">
        <v>2.6616988824641733E-5</v>
      </c>
      <c r="R288" s="16">
        <v>5.6058591663297314E-4</v>
      </c>
      <c r="S288" s="16">
        <v>5.8194605717987419E-4</v>
      </c>
      <c r="T288" s="16">
        <v>7.410070701723602E-13</v>
      </c>
      <c r="U288" s="17">
        <v>9.515207231497705E-18</v>
      </c>
      <c r="V288" s="2"/>
      <c r="W288" s="2"/>
      <c r="X288" s="2"/>
      <c r="Y288" s="2"/>
      <c r="Z288" s="2"/>
      <c r="AA288" s="2"/>
      <c r="AB288" s="2"/>
      <c r="AC288" s="2"/>
    </row>
    <row r="289" spans="1:29" x14ac:dyDescent="0.35">
      <c r="A289" s="18"/>
      <c r="B289" s="19" t="s">
        <v>23</v>
      </c>
      <c r="C289" s="20">
        <v>216</v>
      </c>
      <c r="D289" s="21">
        <v>216</v>
      </c>
      <c r="E289" s="21">
        <v>216</v>
      </c>
      <c r="F289" s="21">
        <v>216</v>
      </c>
      <c r="G289" s="21">
        <v>216</v>
      </c>
      <c r="H289" s="21">
        <v>216</v>
      </c>
      <c r="I289" s="21">
        <v>216</v>
      </c>
      <c r="J289" s="21">
        <v>216</v>
      </c>
      <c r="K289" s="21">
        <v>216</v>
      </c>
      <c r="L289" s="21">
        <v>216</v>
      </c>
      <c r="M289" s="21">
        <v>216</v>
      </c>
      <c r="N289" s="21">
        <v>216</v>
      </c>
      <c r="O289" s="21">
        <v>216</v>
      </c>
      <c r="P289" s="21">
        <v>216</v>
      </c>
      <c r="Q289" s="21">
        <v>216</v>
      </c>
      <c r="R289" s="21">
        <v>216</v>
      </c>
      <c r="S289" s="21">
        <v>216</v>
      </c>
      <c r="T289" s="21">
        <v>216</v>
      </c>
      <c r="U289" s="22">
        <v>216</v>
      </c>
      <c r="V289" s="2"/>
      <c r="W289" s="2"/>
      <c r="X289" s="2"/>
      <c r="Y289" s="2"/>
      <c r="Z289" s="2"/>
      <c r="AA289" s="2"/>
      <c r="AB289" s="2"/>
      <c r="AC289" s="2"/>
    </row>
    <row r="290" spans="1:29" ht="34.5" x14ac:dyDescent="0.35">
      <c r="A290" s="18" t="s">
        <v>97</v>
      </c>
      <c r="B290" s="14" t="s">
        <v>21</v>
      </c>
      <c r="C290" s="23" t="s">
        <v>487</v>
      </c>
      <c r="D290" s="25" t="s">
        <v>260</v>
      </c>
      <c r="E290" s="25" t="s">
        <v>491</v>
      </c>
      <c r="F290" s="25" t="s">
        <v>261</v>
      </c>
      <c r="G290" s="25" t="s">
        <v>496</v>
      </c>
      <c r="H290" s="25" t="s">
        <v>159</v>
      </c>
      <c r="I290" s="25" t="s">
        <v>498</v>
      </c>
      <c r="J290" s="25" t="s">
        <v>256</v>
      </c>
      <c r="K290" s="25" t="s">
        <v>323</v>
      </c>
      <c r="L290" s="16">
        <v>0.11367370393228435</v>
      </c>
      <c r="M290" s="25" t="s">
        <v>503</v>
      </c>
      <c r="N290" s="25" t="s">
        <v>505</v>
      </c>
      <c r="O290" s="24">
        <v>1</v>
      </c>
      <c r="P290" s="25" t="s">
        <v>464</v>
      </c>
      <c r="Q290" s="25" t="s">
        <v>509</v>
      </c>
      <c r="R290" s="16">
        <v>-4.4388929078564593E-2</v>
      </c>
      <c r="S290" s="16">
        <v>7.9984731045582055E-2</v>
      </c>
      <c r="T290" s="25" t="s">
        <v>350</v>
      </c>
      <c r="U290" s="26" t="s">
        <v>520</v>
      </c>
      <c r="V290" s="2"/>
      <c r="W290" s="2"/>
      <c r="X290" s="2"/>
      <c r="Y290" s="2"/>
      <c r="Z290" s="2"/>
      <c r="AA290" s="2"/>
      <c r="AB290" s="2"/>
      <c r="AC290" s="2"/>
    </row>
    <row r="291" spans="1:29" ht="23" x14ac:dyDescent="0.35">
      <c r="A291" s="13"/>
      <c r="B291" s="14" t="s">
        <v>22</v>
      </c>
      <c r="C291" s="27">
        <v>2.7942948847369847E-2</v>
      </c>
      <c r="D291" s="16">
        <v>2.2415730908013388E-6</v>
      </c>
      <c r="E291" s="16">
        <v>7.0824989184596154E-4</v>
      </c>
      <c r="F291" s="16">
        <v>1.5430556161085428E-9</v>
      </c>
      <c r="G291" s="16">
        <v>4.3371824562899162E-12</v>
      </c>
      <c r="H291" s="16">
        <v>7.671341723419127E-4</v>
      </c>
      <c r="I291" s="16">
        <v>9.0372023907094983E-33</v>
      </c>
      <c r="J291" s="16">
        <v>5.3754751160001673E-5</v>
      </c>
      <c r="K291" s="16">
        <v>3.3492944176424521E-5</v>
      </c>
      <c r="L291" s="16">
        <v>9.5640331211354734E-2</v>
      </c>
      <c r="M291" s="16">
        <v>3.0368865200929927E-2</v>
      </c>
      <c r="N291" s="16">
        <v>6.719549718951819E-5</v>
      </c>
      <c r="O291" s="28"/>
      <c r="P291" s="16">
        <v>2.3148453556712197E-3</v>
      </c>
      <c r="Q291" s="16">
        <v>2.0095758409218158E-2</v>
      </c>
      <c r="R291" s="16">
        <v>0.51639275873897605</v>
      </c>
      <c r="S291" s="16">
        <v>0.24176518960459378</v>
      </c>
      <c r="T291" s="16">
        <v>1.1283705113250249E-3</v>
      </c>
      <c r="U291" s="17">
        <v>1.6895462750253799E-18</v>
      </c>
      <c r="V291" s="2"/>
      <c r="W291" s="2"/>
      <c r="X291" s="2"/>
      <c r="Y291" s="2"/>
      <c r="Z291" s="2"/>
      <c r="AA291" s="2"/>
      <c r="AB291" s="2"/>
      <c r="AC291" s="2"/>
    </row>
    <row r="292" spans="1:29" x14ac:dyDescent="0.35">
      <c r="A292" s="18"/>
      <c r="B292" s="19" t="s">
        <v>23</v>
      </c>
      <c r="C292" s="20">
        <v>216</v>
      </c>
      <c r="D292" s="21">
        <v>216</v>
      </c>
      <c r="E292" s="21">
        <v>216</v>
      </c>
      <c r="F292" s="21">
        <v>216</v>
      </c>
      <c r="G292" s="21">
        <v>216</v>
      </c>
      <c r="H292" s="21">
        <v>216</v>
      </c>
      <c r="I292" s="21">
        <v>216</v>
      </c>
      <c r="J292" s="21">
        <v>216</v>
      </c>
      <c r="K292" s="21">
        <v>216</v>
      </c>
      <c r="L292" s="21">
        <v>216</v>
      </c>
      <c r="M292" s="21">
        <v>216</v>
      </c>
      <c r="N292" s="21">
        <v>216</v>
      </c>
      <c r="O292" s="21">
        <v>216</v>
      </c>
      <c r="P292" s="21">
        <v>216</v>
      </c>
      <c r="Q292" s="21">
        <v>216</v>
      </c>
      <c r="R292" s="21">
        <v>216</v>
      </c>
      <c r="S292" s="21">
        <v>216</v>
      </c>
      <c r="T292" s="21">
        <v>216</v>
      </c>
      <c r="U292" s="22">
        <v>216</v>
      </c>
      <c r="V292" s="2"/>
      <c r="W292" s="2"/>
      <c r="X292" s="2"/>
      <c r="Y292" s="2"/>
      <c r="Z292" s="2"/>
      <c r="AA292" s="2"/>
      <c r="AB292" s="2"/>
      <c r="AC292" s="2"/>
    </row>
    <row r="293" spans="1:29" ht="34.5" x14ac:dyDescent="0.35">
      <c r="A293" s="18" t="s">
        <v>98</v>
      </c>
      <c r="B293" s="14" t="s">
        <v>21</v>
      </c>
      <c r="C293" s="27">
        <v>3.5097295982969248E-2</v>
      </c>
      <c r="D293" s="25" t="s">
        <v>179</v>
      </c>
      <c r="E293" s="16">
        <v>0.11949791746260433</v>
      </c>
      <c r="F293" s="16">
        <v>0.11482938964347171</v>
      </c>
      <c r="G293" s="25" t="s">
        <v>487</v>
      </c>
      <c r="H293" s="25" t="s">
        <v>145</v>
      </c>
      <c r="I293" s="16">
        <v>3.7399714316930947E-2</v>
      </c>
      <c r="J293" s="25" t="s">
        <v>500</v>
      </c>
      <c r="K293" s="25" t="s">
        <v>293</v>
      </c>
      <c r="L293" s="16">
        <v>4.3365742437987374E-2</v>
      </c>
      <c r="M293" s="25" t="s">
        <v>394</v>
      </c>
      <c r="N293" s="16">
        <v>6.5772139479491232E-2</v>
      </c>
      <c r="O293" s="25" t="s">
        <v>464</v>
      </c>
      <c r="P293" s="24">
        <v>1</v>
      </c>
      <c r="Q293" s="16">
        <v>7.7158660102852735E-3</v>
      </c>
      <c r="R293" s="25" t="s">
        <v>425</v>
      </c>
      <c r="S293" s="16">
        <v>0.10549313251191253</v>
      </c>
      <c r="T293" s="25" t="s">
        <v>492</v>
      </c>
      <c r="U293" s="26" t="s">
        <v>202</v>
      </c>
      <c r="V293" s="2"/>
      <c r="W293" s="2"/>
      <c r="X293" s="2"/>
      <c r="Y293" s="2"/>
      <c r="Z293" s="2"/>
      <c r="AA293" s="2"/>
      <c r="AB293" s="2"/>
      <c r="AC293" s="2"/>
    </row>
    <row r="294" spans="1:29" ht="23" x14ac:dyDescent="0.35">
      <c r="A294" s="13"/>
      <c r="B294" s="14" t="s">
        <v>22</v>
      </c>
      <c r="C294" s="27">
        <v>0.60795983760765737</v>
      </c>
      <c r="D294" s="16">
        <v>2.68459859296752E-3</v>
      </c>
      <c r="E294" s="16">
        <v>7.9714102773299697E-2</v>
      </c>
      <c r="F294" s="16">
        <v>9.2293642792621963E-2</v>
      </c>
      <c r="G294" s="16">
        <v>2.7638046870534557E-2</v>
      </c>
      <c r="H294" s="16">
        <v>3.4463909776007656E-4</v>
      </c>
      <c r="I294" s="16">
        <v>0.58461014542696732</v>
      </c>
      <c r="J294" s="16">
        <v>6.1992751781224354E-4</v>
      </c>
      <c r="K294" s="16">
        <v>1.6255029408418034E-3</v>
      </c>
      <c r="L294" s="16">
        <v>0.52611751434489928</v>
      </c>
      <c r="M294" s="16">
        <v>1.3602628569168412E-2</v>
      </c>
      <c r="N294" s="16">
        <v>0.33600826584902754</v>
      </c>
      <c r="O294" s="16">
        <v>2.3148453556712197E-3</v>
      </c>
      <c r="P294" s="28"/>
      <c r="Q294" s="16">
        <v>0.91023408470247902</v>
      </c>
      <c r="R294" s="16">
        <v>2.5541797674627477E-2</v>
      </c>
      <c r="S294" s="16">
        <v>0.12216592196601639</v>
      </c>
      <c r="T294" s="16">
        <v>1.0475552446108183E-3</v>
      </c>
      <c r="U294" s="17">
        <v>7.5793270302090596E-7</v>
      </c>
      <c r="V294" s="2"/>
      <c r="W294" s="2"/>
      <c r="X294" s="2"/>
      <c r="Y294" s="2"/>
      <c r="Z294" s="2"/>
      <c r="AA294" s="2"/>
      <c r="AB294" s="2"/>
      <c r="AC294" s="2"/>
    </row>
    <row r="295" spans="1:29" x14ac:dyDescent="0.35">
      <c r="A295" s="18"/>
      <c r="B295" s="19" t="s">
        <v>23</v>
      </c>
      <c r="C295" s="20">
        <v>216</v>
      </c>
      <c r="D295" s="21">
        <v>216</v>
      </c>
      <c r="E295" s="21">
        <v>216</v>
      </c>
      <c r="F295" s="21">
        <v>216</v>
      </c>
      <c r="G295" s="21">
        <v>216</v>
      </c>
      <c r="H295" s="21">
        <v>216</v>
      </c>
      <c r="I295" s="21">
        <v>216</v>
      </c>
      <c r="J295" s="21">
        <v>216</v>
      </c>
      <c r="K295" s="21">
        <v>216</v>
      </c>
      <c r="L295" s="21">
        <v>216</v>
      </c>
      <c r="M295" s="21">
        <v>216</v>
      </c>
      <c r="N295" s="21">
        <v>216</v>
      </c>
      <c r="O295" s="21">
        <v>216</v>
      </c>
      <c r="P295" s="21">
        <v>216</v>
      </c>
      <c r="Q295" s="21">
        <v>216</v>
      </c>
      <c r="R295" s="21">
        <v>216</v>
      </c>
      <c r="S295" s="21">
        <v>216</v>
      </c>
      <c r="T295" s="21">
        <v>216</v>
      </c>
      <c r="U295" s="22">
        <v>216</v>
      </c>
      <c r="V295" s="2"/>
      <c r="W295" s="2"/>
      <c r="X295" s="2"/>
      <c r="Y295" s="2"/>
      <c r="Z295" s="2"/>
      <c r="AA295" s="2"/>
      <c r="AB295" s="2"/>
      <c r="AC295" s="2"/>
    </row>
    <row r="296" spans="1:29" ht="34.5" x14ac:dyDescent="0.35">
      <c r="A296" s="18" t="s">
        <v>99</v>
      </c>
      <c r="B296" s="14" t="s">
        <v>21</v>
      </c>
      <c r="C296" s="27">
        <v>-2.3071644031560885E-2</v>
      </c>
      <c r="D296" s="25" t="s">
        <v>409</v>
      </c>
      <c r="E296" s="25" t="s">
        <v>354</v>
      </c>
      <c r="F296" s="25" t="s">
        <v>344</v>
      </c>
      <c r="G296" s="25" t="s">
        <v>144</v>
      </c>
      <c r="H296" s="25" t="s">
        <v>400</v>
      </c>
      <c r="I296" s="25" t="s">
        <v>499</v>
      </c>
      <c r="J296" s="25" t="s">
        <v>208</v>
      </c>
      <c r="K296" s="25" t="s">
        <v>160</v>
      </c>
      <c r="L296" s="25" t="s">
        <v>310</v>
      </c>
      <c r="M296" s="25" t="s">
        <v>155</v>
      </c>
      <c r="N296" s="25" t="s">
        <v>456</v>
      </c>
      <c r="O296" s="25" t="s">
        <v>509</v>
      </c>
      <c r="P296" s="16">
        <v>7.7158660102852735E-3</v>
      </c>
      <c r="Q296" s="24">
        <v>1</v>
      </c>
      <c r="R296" s="25" t="s">
        <v>241</v>
      </c>
      <c r="S296" s="25" t="s">
        <v>510</v>
      </c>
      <c r="T296" s="25" t="s">
        <v>511</v>
      </c>
      <c r="U296" s="26" t="s">
        <v>520</v>
      </c>
      <c r="V296" s="2"/>
      <c r="W296" s="2"/>
      <c r="X296" s="2"/>
      <c r="Y296" s="2"/>
      <c r="Z296" s="2"/>
      <c r="AA296" s="2"/>
      <c r="AB296" s="2"/>
      <c r="AC296" s="2"/>
    </row>
    <row r="297" spans="1:29" ht="23" x14ac:dyDescent="0.35">
      <c r="A297" s="13"/>
      <c r="B297" s="14" t="s">
        <v>22</v>
      </c>
      <c r="C297" s="27">
        <v>0.73599637001525542</v>
      </c>
      <c r="D297" s="16">
        <v>2.5219965338250023E-3</v>
      </c>
      <c r="E297" s="16">
        <v>1.8236121231077732E-12</v>
      </c>
      <c r="F297" s="16">
        <v>8.694303387384212E-3</v>
      </c>
      <c r="G297" s="16">
        <v>2.356555971917237E-4</v>
      </c>
      <c r="H297" s="16">
        <v>1.597977739550845E-4</v>
      </c>
      <c r="I297" s="16">
        <v>1.022927209245619E-2</v>
      </c>
      <c r="J297" s="16">
        <v>3.286852392525986E-10</v>
      </c>
      <c r="K297" s="16">
        <v>1.8915121821378293E-4</v>
      </c>
      <c r="L297" s="16">
        <v>1.5780476564487243E-8</v>
      </c>
      <c r="M297" s="16">
        <v>3.7122726936361619E-3</v>
      </c>
      <c r="N297" s="16">
        <v>2.6616988824641733E-5</v>
      </c>
      <c r="O297" s="16">
        <v>2.0095758409218158E-2</v>
      </c>
      <c r="P297" s="16">
        <v>0.91023408470247902</v>
      </c>
      <c r="Q297" s="28"/>
      <c r="R297" s="16">
        <v>3.166167522077428E-5</v>
      </c>
      <c r="S297" s="16">
        <v>4.8994370209895206E-4</v>
      </c>
      <c r="T297" s="16">
        <v>4.4666847161253652E-8</v>
      </c>
      <c r="U297" s="17">
        <v>1.6786155979841064E-18</v>
      </c>
      <c r="V297" s="2"/>
      <c r="W297" s="2"/>
      <c r="X297" s="2"/>
      <c r="Y297" s="2"/>
      <c r="Z297" s="2"/>
      <c r="AA297" s="2"/>
      <c r="AB297" s="2"/>
      <c r="AC297" s="2"/>
    </row>
    <row r="298" spans="1:29" x14ac:dyDescent="0.35">
      <c r="A298" s="18"/>
      <c r="B298" s="19" t="s">
        <v>23</v>
      </c>
      <c r="C298" s="20">
        <v>216</v>
      </c>
      <c r="D298" s="21">
        <v>216</v>
      </c>
      <c r="E298" s="21">
        <v>216</v>
      </c>
      <c r="F298" s="21">
        <v>216</v>
      </c>
      <c r="G298" s="21">
        <v>216</v>
      </c>
      <c r="H298" s="21">
        <v>216</v>
      </c>
      <c r="I298" s="21">
        <v>216</v>
      </c>
      <c r="J298" s="21">
        <v>216</v>
      </c>
      <c r="K298" s="21">
        <v>216</v>
      </c>
      <c r="L298" s="21">
        <v>216</v>
      </c>
      <c r="M298" s="21">
        <v>216</v>
      </c>
      <c r="N298" s="21">
        <v>216</v>
      </c>
      <c r="O298" s="21">
        <v>216</v>
      </c>
      <c r="P298" s="21">
        <v>216</v>
      </c>
      <c r="Q298" s="21">
        <v>216</v>
      </c>
      <c r="R298" s="21">
        <v>216</v>
      </c>
      <c r="S298" s="21">
        <v>216</v>
      </c>
      <c r="T298" s="21">
        <v>216</v>
      </c>
      <c r="U298" s="22">
        <v>216</v>
      </c>
      <c r="V298" s="2"/>
      <c r="W298" s="2"/>
      <c r="X298" s="2"/>
      <c r="Y298" s="2"/>
      <c r="Z298" s="2"/>
      <c r="AA298" s="2"/>
      <c r="AB298" s="2"/>
      <c r="AC298" s="2"/>
    </row>
    <row r="299" spans="1:29" ht="34.5" x14ac:dyDescent="0.35">
      <c r="A299" s="18" t="s">
        <v>100</v>
      </c>
      <c r="B299" s="14" t="s">
        <v>21</v>
      </c>
      <c r="C299" s="27">
        <v>3.9578048449740783E-4</v>
      </c>
      <c r="D299" s="16">
        <v>6.6763844169651906E-2</v>
      </c>
      <c r="E299" s="25" t="s">
        <v>195</v>
      </c>
      <c r="F299" s="16">
        <v>1.6210697215324958E-3</v>
      </c>
      <c r="G299" s="16">
        <v>-4.3946161767934325E-2</v>
      </c>
      <c r="H299" s="16">
        <v>3.9008022259832999E-2</v>
      </c>
      <c r="I299" s="16">
        <v>-1.8057004876993125E-2</v>
      </c>
      <c r="J299" s="25" t="s">
        <v>422</v>
      </c>
      <c r="K299" s="25" t="s">
        <v>247</v>
      </c>
      <c r="L299" s="25" t="s">
        <v>199</v>
      </c>
      <c r="M299" s="25" t="s">
        <v>504</v>
      </c>
      <c r="N299" s="25" t="s">
        <v>506</v>
      </c>
      <c r="O299" s="16">
        <v>-4.4388929078564593E-2</v>
      </c>
      <c r="P299" s="25" t="s">
        <v>425</v>
      </c>
      <c r="Q299" s="25" t="s">
        <v>241</v>
      </c>
      <c r="R299" s="24">
        <v>1</v>
      </c>
      <c r="S299" s="25" t="s">
        <v>489</v>
      </c>
      <c r="T299" s="25" t="s">
        <v>512</v>
      </c>
      <c r="U299" s="26" t="s">
        <v>521</v>
      </c>
      <c r="V299" s="2"/>
      <c r="W299" s="2"/>
      <c r="X299" s="2"/>
      <c r="Y299" s="2"/>
      <c r="Z299" s="2"/>
      <c r="AA299" s="2"/>
      <c r="AB299" s="2"/>
      <c r="AC299" s="2"/>
    </row>
    <row r="300" spans="1:29" ht="23" x14ac:dyDescent="0.35">
      <c r="A300" s="13"/>
      <c r="B300" s="14" t="s">
        <v>22</v>
      </c>
      <c r="C300" s="27">
        <v>0.99538585148732495</v>
      </c>
      <c r="D300" s="16">
        <v>0.32875697549622196</v>
      </c>
      <c r="E300" s="16">
        <v>2.2452804121718961E-2</v>
      </c>
      <c r="F300" s="16">
        <v>0.98110264736271935</v>
      </c>
      <c r="G300" s="16">
        <v>0.52058960231285734</v>
      </c>
      <c r="H300" s="16">
        <v>0.5685495070992046</v>
      </c>
      <c r="I300" s="16">
        <v>0.79188446924430356</v>
      </c>
      <c r="J300" s="16">
        <v>4.0102492341299752E-5</v>
      </c>
      <c r="K300" s="16">
        <v>1.6258446744609967E-2</v>
      </c>
      <c r="L300" s="16">
        <v>3.3622212637578999E-3</v>
      </c>
      <c r="M300" s="16">
        <v>9.2042556126927218E-6</v>
      </c>
      <c r="N300" s="16">
        <v>5.6058591663297314E-4</v>
      </c>
      <c r="O300" s="16">
        <v>0.51639275873897605</v>
      </c>
      <c r="P300" s="16">
        <v>2.5541797674627477E-2</v>
      </c>
      <c r="Q300" s="16">
        <v>3.166167522077428E-5</v>
      </c>
      <c r="R300" s="28"/>
      <c r="S300" s="16">
        <v>5.9839289284093425E-9</v>
      </c>
      <c r="T300" s="16">
        <v>3.0762451193695891E-5</v>
      </c>
      <c r="U300" s="17">
        <v>5.4737334394178054E-8</v>
      </c>
      <c r="V300" s="2"/>
      <c r="W300" s="2"/>
      <c r="X300" s="2"/>
      <c r="Y300" s="2"/>
      <c r="Z300" s="2"/>
      <c r="AA300" s="2"/>
      <c r="AB300" s="2"/>
      <c r="AC300" s="2"/>
    </row>
    <row r="301" spans="1:29" x14ac:dyDescent="0.35">
      <c r="A301" s="18"/>
      <c r="B301" s="19" t="s">
        <v>23</v>
      </c>
      <c r="C301" s="20">
        <v>216</v>
      </c>
      <c r="D301" s="21">
        <v>216</v>
      </c>
      <c r="E301" s="21">
        <v>216</v>
      </c>
      <c r="F301" s="21">
        <v>216</v>
      </c>
      <c r="G301" s="21">
        <v>216</v>
      </c>
      <c r="H301" s="21">
        <v>216</v>
      </c>
      <c r="I301" s="21">
        <v>216</v>
      </c>
      <c r="J301" s="21">
        <v>216</v>
      </c>
      <c r="K301" s="21">
        <v>216</v>
      </c>
      <c r="L301" s="21">
        <v>216</v>
      </c>
      <c r="M301" s="21">
        <v>216</v>
      </c>
      <c r="N301" s="21">
        <v>216</v>
      </c>
      <c r="O301" s="21">
        <v>216</v>
      </c>
      <c r="P301" s="21">
        <v>216</v>
      </c>
      <c r="Q301" s="21">
        <v>216</v>
      </c>
      <c r="R301" s="21">
        <v>216</v>
      </c>
      <c r="S301" s="21">
        <v>216</v>
      </c>
      <c r="T301" s="21">
        <v>216</v>
      </c>
      <c r="U301" s="22">
        <v>216</v>
      </c>
      <c r="V301" s="2"/>
      <c r="W301" s="2"/>
      <c r="X301" s="2"/>
      <c r="Y301" s="2"/>
      <c r="Z301" s="2"/>
      <c r="AA301" s="2"/>
      <c r="AB301" s="2"/>
      <c r="AC301" s="2"/>
    </row>
    <row r="302" spans="1:29" ht="34.5" x14ac:dyDescent="0.35">
      <c r="A302" s="18" t="s">
        <v>101</v>
      </c>
      <c r="B302" s="14" t="s">
        <v>21</v>
      </c>
      <c r="C302" s="23" t="s">
        <v>488</v>
      </c>
      <c r="D302" s="16">
        <v>-2.0221787480233493E-2</v>
      </c>
      <c r="E302" s="25" t="s">
        <v>145</v>
      </c>
      <c r="F302" s="16">
        <v>0.12957357609917475</v>
      </c>
      <c r="G302" s="16">
        <v>0.13209501460070189</v>
      </c>
      <c r="H302" s="16">
        <v>-7.5227429637267414E-3</v>
      </c>
      <c r="I302" s="16">
        <v>1.7876057679712409E-2</v>
      </c>
      <c r="J302" s="25" t="s">
        <v>328</v>
      </c>
      <c r="K302" s="16">
        <v>0.11782121610083406</v>
      </c>
      <c r="L302" s="25" t="s">
        <v>461</v>
      </c>
      <c r="M302" s="16">
        <v>0.12263267667775453</v>
      </c>
      <c r="N302" s="25" t="s">
        <v>507</v>
      </c>
      <c r="O302" s="16">
        <v>7.9984731045582055E-2</v>
      </c>
      <c r="P302" s="16">
        <v>0.10549313251191253</v>
      </c>
      <c r="Q302" s="25" t="s">
        <v>510</v>
      </c>
      <c r="R302" s="25" t="s">
        <v>489</v>
      </c>
      <c r="S302" s="24">
        <v>1</v>
      </c>
      <c r="T302" s="16">
        <v>0.11260946135512336</v>
      </c>
      <c r="U302" s="26" t="s">
        <v>353</v>
      </c>
      <c r="V302" s="2"/>
      <c r="W302" s="2"/>
      <c r="X302" s="2"/>
      <c r="Y302" s="2"/>
      <c r="Z302" s="2"/>
      <c r="AA302" s="2"/>
      <c r="AB302" s="2"/>
      <c r="AC302" s="2"/>
    </row>
    <row r="303" spans="1:29" ht="23" x14ac:dyDescent="0.35">
      <c r="A303" s="13"/>
      <c r="B303" s="14" t="s">
        <v>22</v>
      </c>
      <c r="C303" s="27">
        <v>1.0633696013987229E-3</v>
      </c>
      <c r="D303" s="16">
        <v>0.76760882647581219</v>
      </c>
      <c r="E303" s="16">
        <v>3.5241448509306251E-4</v>
      </c>
      <c r="F303" s="16">
        <v>5.7261693003236726E-2</v>
      </c>
      <c r="G303" s="16">
        <v>5.2546293411234929E-2</v>
      </c>
      <c r="H303" s="16">
        <v>0.91247178006799767</v>
      </c>
      <c r="I303" s="16">
        <v>0.79392305481843828</v>
      </c>
      <c r="J303" s="16">
        <v>1.5771802300529583E-5</v>
      </c>
      <c r="K303" s="16">
        <v>8.4062513628436517E-2</v>
      </c>
      <c r="L303" s="16">
        <v>6.7005479449002185E-4</v>
      </c>
      <c r="M303" s="16">
        <v>7.2072186825087342E-2</v>
      </c>
      <c r="N303" s="16">
        <v>5.8194605717987419E-4</v>
      </c>
      <c r="O303" s="16">
        <v>0.24176518960459378</v>
      </c>
      <c r="P303" s="16">
        <v>0.12216592196601639</v>
      </c>
      <c r="Q303" s="16">
        <v>4.8994370209895206E-4</v>
      </c>
      <c r="R303" s="16">
        <v>5.9839289284093425E-9</v>
      </c>
      <c r="S303" s="28"/>
      <c r="T303" s="16">
        <v>9.8806877934601009E-2</v>
      </c>
      <c r="U303" s="17">
        <v>8.8615550976874204E-10</v>
      </c>
      <c r="V303" s="2"/>
      <c r="W303" s="2"/>
      <c r="X303" s="2"/>
      <c r="Y303" s="2"/>
      <c r="Z303" s="2"/>
      <c r="AA303" s="2"/>
      <c r="AB303" s="2"/>
      <c r="AC303" s="2"/>
    </row>
    <row r="304" spans="1:29" x14ac:dyDescent="0.35">
      <c r="A304" s="18"/>
      <c r="B304" s="19" t="s">
        <v>23</v>
      </c>
      <c r="C304" s="20">
        <v>216</v>
      </c>
      <c r="D304" s="21">
        <v>216</v>
      </c>
      <c r="E304" s="21">
        <v>216</v>
      </c>
      <c r="F304" s="21">
        <v>216</v>
      </c>
      <c r="G304" s="21">
        <v>216</v>
      </c>
      <c r="H304" s="21">
        <v>216</v>
      </c>
      <c r="I304" s="21">
        <v>216</v>
      </c>
      <c r="J304" s="21">
        <v>216</v>
      </c>
      <c r="K304" s="21">
        <v>216</v>
      </c>
      <c r="L304" s="21">
        <v>216</v>
      </c>
      <c r="M304" s="21">
        <v>216</v>
      </c>
      <c r="N304" s="21">
        <v>216</v>
      </c>
      <c r="O304" s="21">
        <v>216</v>
      </c>
      <c r="P304" s="21">
        <v>216</v>
      </c>
      <c r="Q304" s="21">
        <v>216</v>
      </c>
      <c r="R304" s="21">
        <v>216</v>
      </c>
      <c r="S304" s="21">
        <v>216</v>
      </c>
      <c r="T304" s="21">
        <v>216</v>
      </c>
      <c r="U304" s="22">
        <v>216</v>
      </c>
      <c r="V304" s="2"/>
      <c r="W304" s="2"/>
      <c r="X304" s="2"/>
      <c r="Y304" s="2"/>
      <c r="Z304" s="2"/>
      <c r="AA304" s="2"/>
      <c r="AB304" s="2"/>
      <c r="AC304" s="2"/>
    </row>
    <row r="305" spans="1:33" ht="34.5" x14ac:dyDescent="0.35">
      <c r="A305" s="18" t="s">
        <v>102</v>
      </c>
      <c r="B305" s="14" t="s">
        <v>21</v>
      </c>
      <c r="C305" s="27">
        <v>0.1090791651435042</v>
      </c>
      <c r="D305" s="25" t="s">
        <v>154</v>
      </c>
      <c r="E305" s="25" t="s">
        <v>492</v>
      </c>
      <c r="F305" s="25" t="s">
        <v>476</v>
      </c>
      <c r="G305" s="25" t="s">
        <v>400</v>
      </c>
      <c r="H305" s="25" t="s">
        <v>308</v>
      </c>
      <c r="I305" s="25" t="s">
        <v>350</v>
      </c>
      <c r="J305" s="25" t="s">
        <v>210</v>
      </c>
      <c r="K305" s="25" t="s">
        <v>310</v>
      </c>
      <c r="L305" s="25" t="s">
        <v>500</v>
      </c>
      <c r="M305" s="25" t="s">
        <v>288</v>
      </c>
      <c r="N305" s="25" t="s">
        <v>508</v>
      </c>
      <c r="O305" s="25" t="s">
        <v>350</v>
      </c>
      <c r="P305" s="25" t="s">
        <v>492</v>
      </c>
      <c r="Q305" s="25" t="s">
        <v>511</v>
      </c>
      <c r="R305" s="25" t="s">
        <v>512</v>
      </c>
      <c r="S305" s="16">
        <v>0.11260946135512336</v>
      </c>
      <c r="T305" s="24">
        <v>1</v>
      </c>
      <c r="U305" s="26" t="s">
        <v>522</v>
      </c>
      <c r="V305" s="2"/>
      <c r="W305" s="2"/>
      <c r="X305" s="2"/>
      <c r="Y305" s="2"/>
      <c r="Z305" s="2"/>
      <c r="AA305" s="2"/>
      <c r="AB305" s="2"/>
      <c r="AC305" s="2"/>
    </row>
    <row r="306" spans="1:33" ht="23" x14ac:dyDescent="0.35">
      <c r="A306" s="13"/>
      <c r="B306" s="14" t="s">
        <v>22</v>
      </c>
      <c r="C306" s="27">
        <v>0.10990924191059542</v>
      </c>
      <c r="D306" s="16">
        <v>9.6228959061363604E-6</v>
      </c>
      <c r="E306" s="16">
        <v>1.0277461865338072E-3</v>
      </c>
      <c r="F306" s="16">
        <v>1.4126332993826789E-6</v>
      </c>
      <c r="G306" s="16">
        <v>1.6064591974468368E-4</v>
      </c>
      <c r="H306" s="16">
        <v>3.0891015583228487E-4</v>
      </c>
      <c r="I306" s="16">
        <v>1.1324668617803896E-3</v>
      </c>
      <c r="J306" s="16">
        <v>2.0354396764825219E-3</v>
      </c>
      <c r="K306" s="16">
        <v>1.5947415298610766E-8</v>
      </c>
      <c r="L306" s="16">
        <v>6.2600171276899882E-4</v>
      </c>
      <c r="M306" s="16">
        <v>1.7866119739126145E-8</v>
      </c>
      <c r="N306" s="16">
        <v>7.410070701723602E-13</v>
      </c>
      <c r="O306" s="16">
        <v>1.1283705113250249E-3</v>
      </c>
      <c r="P306" s="16">
        <v>1.0475552446108183E-3</v>
      </c>
      <c r="Q306" s="16">
        <v>4.4666847161253652E-8</v>
      </c>
      <c r="R306" s="16">
        <v>3.0762451193695891E-5</v>
      </c>
      <c r="S306" s="16">
        <v>9.8806877934601009E-2</v>
      </c>
      <c r="T306" s="28"/>
      <c r="U306" s="17">
        <v>5.2157803483345769E-21</v>
      </c>
      <c r="V306" s="2"/>
      <c r="W306" s="2"/>
      <c r="X306" s="2"/>
      <c r="Y306" s="2"/>
      <c r="Z306" s="2"/>
      <c r="AA306" s="2"/>
      <c r="AB306" s="2"/>
      <c r="AC306" s="2"/>
    </row>
    <row r="307" spans="1:33" x14ac:dyDescent="0.35">
      <c r="A307" s="18"/>
      <c r="B307" s="19" t="s">
        <v>23</v>
      </c>
      <c r="C307" s="20">
        <v>216</v>
      </c>
      <c r="D307" s="21">
        <v>216</v>
      </c>
      <c r="E307" s="21">
        <v>216</v>
      </c>
      <c r="F307" s="21">
        <v>216</v>
      </c>
      <c r="G307" s="21">
        <v>216</v>
      </c>
      <c r="H307" s="21">
        <v>216</v>
      </c>
      <c r="I307" s="21">
        <v>216</v>
      </c>
      <c r="J307" s="21">
        <v>216</v>
      </c>
      <c r="K307" s="21">
        <v>216</v>
      </c>
      <c r="L307" s="21">
        <v>216</v>
      </c>
      <c r="M307" s="21">
        <v>216</v>
      </c>
      <c r="N307" s="21">
        <v>216</v>
      </c>
      <c r="O307" s="21">
        <v>216</v>
      </c>
      <c r="P307" s="21">
        <v>216</v>
      </c>
      <c r="Q307" s="21">
        <v>216</v>
      </c>
      <c r="R307" s="21">
        <v>216</v>
      </c>
      <c r="S307" s="21">
        <v>216</v>
      </c>
      <c r="T307" s="21">
        <v>216</v>
      </c>
      <c r="U307" s="22">
        <v>216</v>
      </c>
      <c r="V307" s="2"/>
      <c r="W307" s="2"/>
      <c r="X307" s="2"/>
      <c r="Y307" s="2"/>
      <c r="Z307" s="2"/>
      <c r="AA307" s="2"/>
      <c r="AB307" s="2"/>
      <c r="AC307" s="2"/>
    </row>
    <row r="308" spans="1:33" ht="34.5" x14ac:dyDescent="0.35">
      <c r="A308" s="18" t="s">
        <v>103</v>
      </c>
      <c r="B308" s="14" t="s">
        <v>21</v>
      </c>
      <c r="C308" s="23" t="s">
        <v>213</v>
      </c>
      <c r="D308" s="25" t="s">
        <v>513</v>
      </c>
      <c r="E308" s="25" t="s">
        <v>514</v>
      </c>
      <c r="F308" s="25" t="s">
        <v>515</v>
      </c>
      <c r="G308" s="25" t="s">
        <v>516</v>
      </c>
      <c r="H308" s="25" t="s">
        <v>437</v>
      </c>
      <c r="I308" s="25" t="s">
        <v>517</v>
      </c>
      <c r="J308" s="25" t="s">
        <v>518</v>
      </c>
      <c r="K308" s="25" t="s">
        <v>272</v>
      </c>
      <c r="L308" s="25" t="s">
        <v>257</v>
      </c>
      <c r="M308" s="25" t="s">
        <v>364</v>
      </c>
      <c r="N308" s="25" t="s">
        <v>519</v>
      </c>
      <c r="O308" s="25" t="s">
        <v>520</v>
      </c>
      <c r="P308" s="25" t="s">
        <v>202</v>
      </c>
      <c r="Q308" s="25" t="s">
        <v>520</v>
      </c>
      <c r="R308" s="25" t="s">
        <v>521</v>
      </c>
      <c r="S308" s="25" t="s">
        <v>353</v>
      </c>
      <c r="T308" s="25" t="s">
        <v>522</v>
      </c>
      <c r="U308" s="29">
        <v>1</v>
      </c>
      <c r="V308" s="2"/>
      <c r="W308" s="2"/>
      <c r="X308" s="2"/>
      <c r="Y308" s="2"/>
      <c r="Z308" s="2"/>
      <c r="AA308" s="2"/>
      <c r="AB308" s="2"/>
      <c r="AC308" s="2"/>
    </row>
    <row r="309" spans="1:33" ht="23" x14ac:dyDescent="0.35">
      <c r="A309" s="13"/>
      <c r="B309" s="14" t="s">
        <v>22</v>
      </c>
      <c r="C309" s="27">
        <v>5.2445908153520141E-9</v>
      </c>
      <c r="D309" s="16">
        <v>5.8111118223969853E-17</v>
      </c>
      <c r="E309" s="16">
        <v>3.4002103342461787E-24</v>
      </c>
      <c r="F309" s="16">
        <v>4.0164019672970612E-19</v>
      </c>
      <c r="G309" s="16">
        <v>1.976642897346248E-20</v>
      </c>
      <c r="H309" s="16">
        <v>4.6014604044345761E-14</v>
      </c>
      <c r="I309" s="16">
        <v>3.2099407632417024E-20</v>
      </c>
      <c r="J309" s="16">
        <v>4.5005340698373303E-25</v>
      </c>
      <c r="K309" s="16">
        <v>2.2884814381660305E-24</v>
      </c>
      <c r="L309" s="16">
        <v>1.9736246565914014E-19</v>
      </c>
      <c r="M309" s="16">
        <v>1.1916641491506886E-15</v>
      </c>
      <c r="N309" s="16">
        <v>9.515207231497705E-18</v>
      </c>
      <c r="O309" s="16">
        <v>1.6895462750253799E-18</v>
      </c>
      <c r="P309" s="16">
        <v>7.5793270302090596E-7</v>
      </c>
      <c r="Q309" s="16">
        <v>1.6786155979841064E-18</v>
      </c>
      <c r="R309" s="16">
        <v>5.4737334394178054E-8</v>
      </c>
      <c r="S309" s="16">
        <v>8.8615550976874204E-10</v>
      </c>
      <c r="T309" s="16">
        <v>5.2157803483345769E-21</v>
      </c>
      <c r="U309" s="30"/>
      <c r="V309" s="2"/>
      <c r="W309" s="2"/>
      <c r="X309" s="2"/>
      <c r="Y309" s="2"/>
      <c r="Z309" s="2"/>
      <c r="AA309" s="2"/>
      <c r="AB309" s="2"/>
      <c r="AC309" s="2"/>
    </row>
    <row r="310" spans="1:33" x14ac:dyDescent="0.35">
      <c r="A310" s="31"/>
      <c r="B310" s="32" t="s">
        <v>23</v>
      </c>
      <c r="C310" s="33">
        <v>216</v>
      </c>
      <c r="D310" s="34">
        <v>216</v>
      </c>
      <c r="E310" s="34">
        <v>216</v>
      </c>
      <c r="F310" s="34">
        <v>216</v>
      </c>
      <c r="G310" s="34">
        <v>216</v>
      </c>
      <c r="H310" s="34">
        <v>216</v>
      </c>
      <c r="I310" s="34">
        <v>216</v>
      </c>
      <c r="J310" s="34">
        <v>216</v>
      </c>
      <c r="K310" s="34">
        <v>216</v>
      </c>
      <c r="L310" s="34">
        <v>216</v>
      </c>
      <c r="M310" s="34">
        <v>216</v>
      </c>
      <c r="N310" s="34">
        <v>216</v>
      </c>
      <c r="O310" s="34">
        <v>216</v>
      </c>
      <c r="P310" s="34">
        <v>216</v>
      </c>
      <c r="Q310" s="34">
        <v>216</v>
      </c>
      <c r="R310" s="34">
        <v>216</v>
      </c>
      <c r="S310" s="34">
        <v>216</v>
      </c>
      <c r="T310" s="34">
        <v>216</v>
      </c>
      <c r="U310" s="35">
        <v>216</v>
      </c>
      <c r="V310" s="2"/>
      <c r="W310" s="2"/>
      <c r="X310" s="2"/>
      <c r="Y310" s="2"/>
      <c r="Z310" s="2"/>
      <c r="AA310" s="2"/>
      <c r="AB310" s="2"/>
      <c r="AC310" s="2"/>
    </row>
    <row r="311" spans="1:33" x14ac:dyDescent="0.35">
      <c r="A311" s="36" t="s">
        <v>24</v>
      </c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2"/>
      <c r="W311" s="2"/>
      <c r="X311" s="2"/>
      <c r="Y311" s="2"/>
      <c r="Z311" s="2"/>
      <c r="AA311" s="2"/>
      <c r="AB311" s="2"/>
      <c r="AC311" s="2"/>
    </row>
    <row r="312" spans="1:33" x14ac:dyDescent="0.35">
      <c r="A312" s="36" t="s">
        <v>25</v>
      </c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2"/>
      <c r="W312" s="2"/>
      <c r="X312" s="2"/>
      <c r="Y312" s="2"/>
      <c r="Z312" s="2"/>
      <c r="AA312" s="2"/>
      <c r="AB312" s="2"/>
      <c r="AC312" s="2"/>
    </row>
    <row r="313" spans="1:33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33" x14ac:dyDescent="0.35">
      <c r="A314" s="1" t="s">
        <v>2</v>
      </c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2"/>
    </row>
    <row r="315" spans="1:33" ht="24" x14ac:dyDescent="0.35">
      <c r="A315" s="3" t="s">
        <v>1</v>
      </c>
      <c r="B315" s="3"/>
      <c r="C315" s="4" t="s">
        <v>104</v>
      </c>
      <c r="D315" s="5" t="s">
        <v>105</v>
      </c>
      <c r="E315" s="5" t="s">
        <v>106</v>
      </c>
      <c r="F315" s="5" t="s">
        <v>107</v>
      </c>
      <c r="G315" s="5" t="s">
        <v>108</v>
      </c>
      <c r="H315" s="5" t="s">
        <v>109</v>
      </c>
      <c r="I315" s="5" t="s">
        <v>110</v>
      </c>
      <c r="J315" s="5" t="s">
        <v>111</v>
      </c>
      <c r="K315" s="5" t="s">
        <v>112</v>
      </c>
      <c r="L315" s="5" t="s">
        <v>113</v>
      </c>
      <c r="M315" s="5" t="s">
        <v>114</v>
      </c>
      <c r="N315" s="5" t="s">
        <v>115</v>
      </c>
      <c r="O315" s="5" t="s">
        <v>116</v>
      </c>
      <c r="P315" s="5" t="s">
        <v>117</v>
      </c>
      <c r="Q315" s="5" t="s">
        <v>118</v>
      </c>
      <c r="R315" s="5" t="s">
        <v>119</v>
      </c>
      <c r="S315" s="5" t="s">
        <v>120</v>
      </c>
      <c r="T315" s="5" t="s">
        <v>121</v>
      </c>
      <c r="U315" s="5" t="s">
        <v>122</v>
      </c>
      <c r="V315" s="5" t="s">
        <v>123</v>
      </c>
      <c r="W315" s="5" t="s">
        <v>124</v>
      </c>
      <c r="X315" s="5" t="s">
        <v>125</v>
      </c>
      <c r="Y315" s="5" t="s">
        <v>126</v>
      </c>
      <c r="Z315" s="5" t="s">
        <v>127</v>
      </c>
      <c r="AA315" s="5" t="s">
        <v>128</v>
      </c>
      <c r="AB315" s="6" t="s">
        <v>129</v>
      </c>
      <c r="AC315" s="2"/>
      <c r="AD315" s="38" t="s">
        <v>0</v>
      </c>
      <c r="AE315" s="38" t="s">
        <v>130</v>
      </c>
      <c r="AF315" s="38" t="s">
        <v>131</v>
      </c>
      <c r="AG315" s="38" t="s">
        <v>132</v>
      </c>
    </row>
    <row r="316" spans="1:33" ht="34.5" x14ac:dyDescent="0.35">
      <c r="A316" s="7" t="s">
        <v>104</v>
      </c>
      <c r="B316" s="8" t="s">
        <v>21</v>
      </c>
      <c r="C316" s="9">
        <v>1</v>
      </c>
      <c r="D316" s="10" t="s">
        <v>456</v>
      </c>
      <c r="E316" s="10" t="s">
        <v>341</v>
      </c>
      <c r="F316" s="10" t="s">
        <v>491</v>
      </c>
      <c r="G316" s="10" t="s">
        <v>523</v>
      </c>
      <c r="H316" s="10" t="s">
        <v>524</v>
      </c>
      <c r="I316" s="10" t="s">
        <v>525</v>
      </c>
      <c r="J316" s="10" t="s">
        <v>507</v>
      </c>
      <c r="K316" s="10" t="s">
        <v>491</v>
      </c>
      <c r="L316" s="11">
        <v>0.12935468548232462</v>
      </c>
      <c r="M316" s="10" t="s">
        <v>458</v>
      </c>
      <c r="N316" s="10" t="s">
        <v>468</v>
      </c>
      <c r="O316" s="10" t="s">
        <v>525</v>
      </c>
      <c r="P316" s="10" t="s">
        <v>332</v>
      </c>
      <c r="Q316" s="10" t="s">
        <v>301</v>
      </c>
      <c r="R316" s="11">
        <v>4.4919883141877795E-2</v>
      </c>
      <c r="S316" s="10" t="s">
        <v>397</v>
      </c>
      <c r="T316" s="10" t="s">
        <v>526</v>
      </c>
      <c r="U316" s="10" t="s">
        <v>383</v>
      </c>
      <c r="V316" s="10" t="s">
        <v>143</v>
      </c>
      <c r="W316" s="10" t="s">
        <v>526</v>
      </c>
      <c r="X316" s="10" t="s">
        <v>144</v>
      </c>
      <c r="Y316" s="10" t="s">
        <v>350</v>
      </c>
      <c r="Z316" s="10" t="s">
        <v>377</v>
      </c>
      <c r="AA316" s="10" t="s">
        <v>233</v>
      </c>
      <c r="AB316" s="12" t="s">
        <v>435</v>
      </c>
      <c r="AC316" s="2"/>
      <c r="AD316" s="37" t="str" cm="1">
        <f t="array" ref="AD316">INDEX(A:A, (ROW()*3)-(ROW($W$316)*2))</f>
        <v>KD1</v>
      </c>
      <c r="AE316" s="37" t="str" cm="1">
        <f t="array" ref="AE316">INDEX(AB:AB, (ROW()*3)-(ROW($W$316)*2))</f>
        <v>0,483**</v>
      </c>
      <c r="AF316" s="39" cm="1">
        <f t="array" ref="AF316">INDEX(AB:AB, (ROW()*3)-(ROW($W$316)*2)+1)</f>
        <v>5.3464670452480775E-14</v>
      </c>
      <c r="AG316" s="37" t="str">
        <f>IF(AF316&lt;0.05,"Valid","Tidak Valid")</f>
        <v>Valid</v>
      </c>
    </row>
    <row r="317" spans="1:33" ht="23" x14ac:dyDescent="0.35">
      <c r="A317" s="13"/>
      <c r="B317" s="14" t="s">
        <v>22</v>
      </c>
      <c r="C317" s="15"/>
      <c r="D317" s="16">
        <v>2.6407286667510062E-5</v>
      </c>
      <c r="E317" s="16">
        <v>1.8354092955398821E-3</v>
      </c>
      <c r="F317" s="16">
        <v>6.9988745872136878E-4</v>
      </c>
      <c r="G317" s="16">
        <v>4.0706348816976545E-4</v>
      </c>
      <c r="H317" s="16">
        <v>4.0495297852071157E-5</v>
      </c>
      <c r="I317" s="16">
        <v>2.4196924531353838E-2</v>
      </c>
      <c r="J317" s="16">
        <v>6.014116521524509E-4</v>
      </c>
      <c r="K317" s="16">
        <v>6.9982181705095044E-4</v>
      </c>
      <c r="L317" s="16">
        <v>5.76870301019939E-2</v>
      </c>
      <c r="M317" s="16">
        <v>2.9097149834714949E-2</v>
      </c>
      <c r="N317" s="16">
        <v>1.8326035297667829E-2</v>
      </c>
      <c r="O317" s="16">
        <v>2.4414719895088515E-2</v>
      </c>
      <c r="P317" s="16">
        <v>1.5135796448733533E-2</v>
      </c>
      <c r="Q317" s="16">
        <v>3.9848822941922031E-3</v>
      </c>
      <c r="R317" s="16">
        <v>0.51138308642260255</v>
      </c>
      <c r="S317" s="16">
        <v>1.401969522907908E-4</v>
      </c>
      <c r="T317" s="16">
        <v>4.3110539962791742E-3</v>
      </c>
      <c r="U317" s="16">
        <v>1.1451745523146357E-4</v>
      </c>
      <c r="V317" s="16">
        <v>2.9184827752344611E-4</v>
      </c>
      <c r="W317" s="16">
        <v>4.2950971263514244E-3</v>
      </c>
      <c r="X317" s="16">
        <v>2.3506937986526801E-4</v>
      </c>
      <c r="Y317" s="16">
        <v>1.1459063939804469E-3</v>
      </c>
      <c r="Z317" s="16">
        <v>5.2440677271752012E-4</v>
      </c>
      <c r="AA317" s="16">
        <v>1.1738976501078984E-3</v>
      </c>
      <c r="AB317" s="17">
        <v>5.3464670452480775E-14</v>
      </c>
      <c r="AC317" s="2"/>
      <c r="AD317" s="37" t="str" cm="1">
        <f t="array" ref="AD317">INDEX(A:A, (ROW()*3)-(ROW($W$316)*2))</f>
        <v>KD2</v>
      </c>
      <c r="AE317" s="37" t="str" cm="1">
        <f t="array" ref="AE317">INDEX(AB:AB, (ROW()*3)-(ROW($W$316)*2))</f>
        <v>0,455**</v>
      </c>
      <c r="AF317" s="39" cm="1">
        <f t="array" ref="AF317">INDEX(AB:AB, (ROW()*3)-(ROW($W$316)*2)+1)</f>
        <v>1.9778029807270359E-12</v>
      </c>
      <c r="AG317" s="37" t="str">
        <f t="shared" ref="AG317:AG340" si="5">IF(AF317&lt;0.05,"Valid","Tidak Valid")</f>
        <v>Valid</v>
      </c>
    </row>
    <row r="318" spans="1:33" x14ac:dyDescent="0.35">
      <c r="A318" s="18"/>
      <c r="B318" s="19" t="s">
        <v>23</v>
      </c>
      <c r="C318" s="20">
        <v>216</v>
      </c>
      <c r="D318" s="21">
        <v>216</v>
      </c>
      <c r="E318" s="21">
        <v>216</v>
      </c>
      <c r="F318" s="21">
        <v>216</v>
      </c>
      <c r="G318" s="21">
        <v>216</v>
      </c>
      <c r="H318" s="21">
        <v>216</v>
      </c>
      <c r="I318" s="21">
        <v>216</v>
      </c>
      <c r="J318" s="21">
        <v>216</v>
      </c>
      <c r="K318" s="21">
        <v>216</v>
      </c>
      <c r="L318" s="21">
        <v>216</v>
      </c>
      <c r="M318" s="21">
        <v>216</v>
      </c>
      <c r="N318" s="21">
        <v>216</v>
      </c>
      <c r="O318" s="21">
        <v>216</v>
      </c>
      <c r="P318" s="21">
        <v>216</v>
      </c>
      <c r="Q318" s="21">
        <v>216</v>
      </c>
      <c r="R318" s="21">
        <v>216</v>
      </c>
      <c r="S318" s="21">
        <v>216</v>
      </c>
      <c r="T318" s="21">
        <v>216</v>
      </c>
      <c r="U318" s="21">
        <v>216</v>
      </c>
      <c r="V318" s="21">
        <v>216</v>
      </c>
      <c r="W318" s="21">
        <v>216</v>
      </c>
      <c r="X318" s="21">
        <v>216</v>
      </c>
      <c r="Y318" s="21">
        <v>216</v>
      </c>
      <c r="Z318" s="21">
        <v>216</v>
      </c>
      <c r="AA318" s="21">
        <v>216</v>
      </c>
      <c r="AB318" s="22">
        <v>216</v>
      </c>
      <c r="AC318" s="2"/>
      <c r="AD318" s="37" t="str" cm="1">
        <f t="array" ref="AD318">INDEX(A:A, (ROW()*3)-(ROW($W$316)*2))</f>
        <v>KD3</v>
      </c>
      <c r="AE318" s="37" t="str" cm="1">
        <f t="array" ref="AE318">INDEX(AB:AB, (ROW()*3)-(ROW($W$316)*2))</f>
        <v>0,488**</v>
      </c>
      <c r="AF318" s="39" cm="1">
        <f t="array" ref="AF318">INDEX(AB:AB, (ROW()*3)-(ROW($W$316)*2)+1)</f>
        <v>2.4375073573447027E-14</v>
      </c>
      <c r="AG318" s="37" t="str">
        <f t="shared" si="5"/>
        <v>Valid</v>
      </c>
    </row>
    <row r="319" spans="1:33" ht="34.5" x14ac:dyDescent="0.35">
      <c r="A319" s="18" t="s">
        <v>105</v>
      </c>
      <c r="B319" s="14" t="s">
        <v>21</v>
      </c>
      <c r="C319" s="23" t="s">
        <v>456</v>
      </c>
      <c r="D319" s="24">
        <v>1</v>
      </c>
      <c r="E319" s="25" t="s">
        <v>146</v>
      </c>
      <c r="F319" s="25" t="s">
        <v>195</v>
      </c>
      <c r="G319" s="16">
        <v>0.10700068241628539</v>
      </c>
      <c r="H319" s="25" t="s">
        <v>375</v>
      </c>
      <c r="I319" s="16">
        <v>0.10199778631119411</v>
      </c>
      <c r="J319" s="25" t="s">
        <v>264</v>
      </c>
      <c r="K319" s="25" t="s">
        <v>335</v>
      </c>
      <c r="L319" s="25" t="s">
        <v>374</v>
      </c>
      <c r="M319" s="25" t="s">
        <v>411</v>
      </c>
      <c r="N319" s="25" t="s">
        <v>156</v>
      </c>
      <c r="O319" s="25" t="s">
        <v>505</v>
      </c>
      <c r="P319" s="25" t="s">
        <v>425</v>
      </c>
      <c r="Q319" s="25" t="s">
        <v>424</v>
      </c>
      <c r="R319" s="16">
        <v>5.3855848828111466E-2</v>
      </c>
      <c r="S319" s="25" t="s">
        <v>492</v>
      </c>
      <c r="T319" s="16">
        <v>9.0017492746479896E-2</v>
      </c>
      <c r="U319" s="16">
        <v>9.8712153315474588E-3</v>
      </c>
      <c r="V319" s="25" t="s">
        <v>235</v>
      </c>
      <c r="W319" s="25" t="s">
        <v>215</v>
      </c>
      <c r="X319" s="25" t="s">
        <v>390</v>
      </c>
      <c r="Y319" s="25" t="s">
        <v>414</v>
      </c>
      <c r="Z319" s="25" t="s">
        <v>181</v>
      </c>
      <c r="AA319" s="16">
        <v>4.8783095830697495E-2</v>
      </c>
      <c r="AB319" s="26" t="s">
        <v>276</v>
      </c>
      <c r="AC319" s="2"/>
      <c r="AD319" s="37" t="str" cm="1">
        <f t="array" ref="AD319">INDEX(A:A, (ROW()*3)-(ROW($W$316)*2))</f>
        <v>KD4</v>
      </c>
      <c r="AE319" s="37" t="str" cm="1">
        <f t="array" ref="AE319">INDEX(AB:AB, (ROW()*3)-(ROW($W$316)*2))</f>
        <v>0,380**</v>
      </c>
      <c r="AF319" s="39" cm="1">
        <f t="array" ref="AF319">INDEX(AB:AB, (ROW()*3)-(ROW($W$316)*2)+1)</f>
        <v>7.8431490480436482E-9</v>
      </c>
      <c r="AG319" s="37" t="str">
        <f t="shared" si="5"/>
        <v>Valid</v>
      </c>
    </row>
    <row r="320" spans="1:33" ht="23" x14ac:dyDescent="0.35">
      <c r="A320" s="13"/>
      <c r="B320" s="14" t="s">
        <v>22</v>
      </c>
      <c r="C320" s="27">
        <v>2.6407286667510062E-5</v>
      </c>
      <c r="D320" s="28"/>
      <c r="E320" s="16">
        <v>4.5024919675927828E-3</v>
      </c>
      <c r="F320" s="16">
        <v>2.271676243897397E-2</v>
      </c>
      <c r="G320" s="16">
        <v>0.11688993032803703</v>
      </c>
      <c r="H320" s="16">
        <v>3.1236547892884788E-3</v>
      </c>
      <c r="I320" s="16">
        <v>0.13510854607952311</v>
      </c>
      <c r="J320" s="16">
        <v>2.7881980626586958E-9</v>
      </c>
      <c r="K320" s="16">
        <v>8.3935935246072551E-5</v>
      </c>
      <c r="L320" s="16">
        <v>3.288005433743383E-2</v>
      </c>
      <c r="M320" s="16">
        <v>5.2246560699596747E-6</v>
      </c>
      <c r="N320" s="16">
        <v>8.4471422014490826E-4</v>
      </c>
      <c r="O320" s="16">
        <v>6.4452870169587616E-5</v>
      </c>
      <c r="P320" s="16">
        <v>2.5957846090606244E-2</v>
      </c>
      <c r="Q320" s="16">
        <v>2.2392518566820253E-4</v>
      </c>
      <c r="R320" s="16">
        <v>0.43099213053222307</v>
      </c>
      <c r="S320" s="16">
        <v>1.0448529097049658E-3</v>
      </c>
      <c r="T320" s="16">
        <v>0.18750958572768897</v>
      </c>
      <c r="U320" s="16">
        <v>0.88531225882358056</v>
      </c>
      <c r="V320" s="16">
        <v>2.2421552562079265E-8</v>
      </c>
      <c r="W320" s="16">
        <v>1.7454550445783167E-2</v>
      </c>
      <c r="X320" s="16">
        <v>1.5271969635679103E-3</v>
      </c>
      <c r="Y320" s="16">
        <v>2.6459249456112964E-4</v>
      </c>
      <c r="Z320" s="16">
        <v>3.6405509105595424E-5</v>
      </c>
      <c r="AA320" s="16">
        <v>0.4757054462535435</v>
      </c>
      <c r="AB320" s="17">
        <v>1.9778029807270359E-12</v>
      </c>
      <c r="AC320" s="2"/>
      <c r="AD320" s="37" t="str" cm="1">
        <f t="array" ref="AD320">INDEX(A:A, (ROW()*3)-(ROW($W$316)*2))</f>
        <v>KD5</v>
      </c>
      <c r="AE320" s="37" t="str" cm="1">
        <f t="array" ref="AE320">INDEX(AB:AB, (ROW()*3)-(ROW($W$316)*2))</f>
        <v>0,568**</v>
      </c>
      <c r="AF320" s="39" cm="1">
        <f t="array" ref="AF320">INDEX(AB:AB, (ROW()*3)-(ROW($W$316)*2)+1)</f>
        <v>7.5775299925195665E-20</v>
      </c>
      <c r="AG320" s="37" t="str">
        <f t="shared" si="5"/>
        <v>Valid</v>
      </c>
    </row>
    <row r="321" spans="1:33" x14ac:dyDescent="0.35">
      <c r="A321" s="18"/>
      <c r="B321" s="19" t="s">
        <v>23</v>
      </c>
      <c r="C321" s="20">
        <v>216</v>
      </c>
      <c r="D321" s="21">
        <v>216</v>
      </c>
      <c r="E321" s="21">
        <v>216</v>
      </c>
      <c r="F321" s="21">
        <v>216</v>
      </c>
      <c r="G321" s="21">
        <v>216</v>
      </c>
      <c r="H321" s="21">
        <v>216</v>
      </c>
      <c r="I321" s="21">
        <v>216</v>
      </c>
      <c r="J321" s="21">
        <v>216</v>
      </c>
      <c r="K321" s="21">
        <v>216</v>
      </c>
      <c r="L321" s="21">
        <v>216</v>
      </c>
      <c r="M321" s="21">
        <v>216</v>
      </c>
      <c r="N321" s="21">
        <v>216</v>
      </c>
      <c r="O321" s="21">
        <v>216</v>
      </c>
      <c r="P321" s="21">
        <v>216</v>
      </c>
      <c r="Q321" s="21">
        <v>216</v>
      </c>
      <c r="R321" s="21">
        <v>216</v>
      </c>
      <c r="S321" s="21">
        <v>216</v>
      </c>
      <c r="T321" s="21">
        <v>216</v>
      </c>
      <c r="U321" s="21">
        <v>216</v>
      </c>
      <c r="V321" s="21">
        <v>216</v>
      </c>
      <c r="W321" s="21">
        <v>216</v>
      </c>
      <c r="X321" s="21">
        <v>216</v>
      </c>
      <c r="Y321" s="21">
        <v>216</v>
      </c>
      <c r="Z321" s="21">
        <v>216</v>
      </c>
      <c r="AA321" s="21">
        <v>216</v>
      </c>
      <c r="AB321" s="22">
        <v>216</v>
      </c>
      <c r="AC321" s="2"/>
      <c r="AD321" s="37" t="str" cm="1">
        <f t="array" ref="AD321">INDEX(A:A, (ROW()*3)-(ROW($W$316)*2))</f>
        <v>KD6</v>
      </c>
      <c r="AE321" s="37" t="str" cm="1">
        <f t="array" ref="AE321">INDEX(AB:AB, (ROW()*3)-(ROW($W$316)*2))</f>
        <v>0,410**</v>
      </c>
      <c r="AF321" s="39" cm="1">
        <f t="array" ref="AF321">INDEX(AB:AB, (ROW()*3)-(ROW($W$316)*2)+1)</f>
        <v>3.5802542758583297E-10</v>
      </c>
      <c r="AG321" s="37" t="str">
        <f t="shared" si="5"/>
        <v>Valid</v>
      </c>
    </row>
    <row r="322" spans="1:33" ht="34.5" x14ac:dyDescent="0.35">
      <c r="A322" s="18" t="s">
        <v>106</v>
      </c>
      <c r="B322" s="14" t="s">
        <v>21</v>
      </c>
      <c r="C322" s="23" t="s">
        <v>341</v>
      </c>
      <c r="D322" s="25" t="s">
        <v>146</v>
      </c>
      <c r="E322" s="24">
        <v>1</v>
      </c>
      <c r="F322" s="16">
        <v>0.11249397270941947</v>
      </c>
      <c r="G322" s="25" t="s">
        <v>383</v>
      </c>
      <c r="H322" s="25" t="s">
        <v>527</v>
      </c>
      <c r="I322" s="16">
        <v>0.11699245936150678</v>
      </c>
      <c r="J322" s="16">
        <v>2.8694642093764038E-2</v>
      </c>
      <c r="K322" s="25" t="s">
        <v>528</v>
      </c>
      <c r="L322" s="25" t="s">
        <v>449</v>
      </c>
      <c r="M322" s="25" t="s">
        <v>488</v>
      </c>
      <c r="N322" s="25" t="s">
        <v>479</v>
      </c>
      <c r="O322" s="25" t="s">
        <v>209</v>
      </c>
      <c r="P322" s="25" t="s">
        <v>140</v>
      </c>
      <c r="Q322" s="16">
        <v>0.11586290891069212</v>
      </c>
      <c r="R322" s="25" t="s">
        <v>500</v>
      </c>
      <c r="S322" s="25" t="s">
        <v>375</v>
      </c>
      <c r="T322" s="25" t="s">
        <v>312</v>
      </c>
      <c r="U322" s="25" t="s">
        <v>540</v>
      </c>
      <c r="V322" s="25" t="s">
        <v>491</v>
      </c>
      <c r="W322" s="25" t="s">
        <v>403</v>
      </c>
      <c r="X322" s="16">
        <v>0.1191529009900712</v>
      </c>
      <c r="Y322" s="25" t="s">
        <v>549</v>
      </c>
      <c r="Z322" s="25" t="s">
        <v>260</v>
      </c>
      <c r="AA322" s="16">
        <v>0.12494352787560822</v>
      </c>
      <c r="AB322" s="26" t="s">
        <v>553</v>
      </c>
      <c r="AC322" s="2"/>
      <c r="AD322" s="37" t="str" cm="1">
        <f t="array" ref="AD322">INDEX(A:A, (ROW()*3)-(ROW($W$316)*2))</f>
        <v>KD7</v>
      </c>
      <c r="AE322" s="37" t="str" cm="1">
        <f t="array" ref="AE322">INDEX(AB:AB, (ROW()*3)-(ROW($W$316)*2))</f>
        <v>0,592**</v>
      </c>
      <c r="AF322" s="39" cm="1">
        <f t="array" ref="AF322">INDEX(AB:AB, (ROW()*3)-(ROW($W$316)*2)+1)</f>
        <v>8.1378796509482317E-22</v>
      </c>
      <c r="AG322" s="37" t="str">
        <f t="shared" si="5"/>
        <v>Valid</v>
      </c>
    </row>
    <row r="323" spans="1:33" ht="23" x14ac:dyDescent="0.35">
      <c r="A323" s="13"/>
      <c r="B323" s="14" t="s">
        <v>22</v>
      </c>
      <c r="C323" s="27">
        <v>1.8354092955398821E-3</v>
      </c>
      <c r="D323" s="16">
        <v>4.5024919675927828E-3</v>
      </c>
      <c r="E323" s="28"/>
      <c r="F323" s="16">
        <v>9.9155443694654885E-2</v>
      </c>
      <c r="G323" s="16">
        <v>1.1796723290006888E-4</v>
      </c>
      <c r="H323" s="16">
        <v>8.0024040815369155E-3</v>
      </c>
      <c r="I323" s="16">
        <v>8.628117718390596E-2</v>
      </c>
      <c r="J323" s="16">
        <v>0.6749510721535722</v>
      </c>
      <c r="K323" s="16">
        <v>4.7829601959996942E-2</v>
      </c>
      <c r="L323" s="16">
        <v>4.7488586245365095E-4</v>
      </c>
      <c r="M323" s="16">
        <v>1.0793183429122215E-3</v>
      </c>
      <c r="N323" s="16">
        <v>7.3609227815674408E-3</v>
      </c>
      <c r="O323" s="16">
        <v>4.613761889208047E-5</v>
      </c>
      <c r="P323" s="16">
        <v>8.8914631976397547E-5</v>
      </c>
      <c r="Q323" s="16">
        <v>8.938045491386902E-2</v>
      </c>
      <c r="R323" s="16">
        <v>6.1574454081960621E-4</v>
      </c>
      <c r="S323" s="16">
        <v>3.0951815164726496E-3</v>
      </c>
      <c r="T323" s="16">
        <v>1.1305798406035947E-4</v>
      </c>
      <c r="U323" s="16">
        <v>3.4650386784333201E-2</v>
      </c>
      <c r="V323" s="16">
        <v>6.8931393273859772E-4</v>
      </c>
      <c r="W323" s="16">
        <v>3.819718961912489E-2</v>
      </c>
      <c r="X323" s="16">
        <v>8.05937210095337E-2</v>
      </c>
      <c r="Y323" s="16">
        <v>8.5140280564461212E-29</v>
      </c>
      <c r="Z323" s="16">
        <v>2.326117894652566E-6</v>
      </c>
      <c r="AA323" s="16">
        <v>6.6829211714251588E-2</v>
      </c>
      <c r="AB323" s="17">
        <v>2.4375073573447027E-14</v>
      </c>
      <c r="AC323" s="2"/>
      <c r="AD323" s="37" t="str" cm="1">
        <f t="array" ref="AD323">INDEX(A:A, (ROW()*3)-(ROW($W$316)*2))</f>
        <v>KD8</v>
      </c>
      <c r="AE323" s="37" t="str" cm="1">
        <f t="array" ref="AE323">INDEX(AB:AB, (ROW()*3)-(ROW($W$316)*2))</f>
        <v>0,508**</v>
      </c>
      <c r="AF323" s="39" cm="1">
        <f t="array" ref="AF323">INDEX(AB:AB, (ROW()*3)-(ROW($W$316)*2)+1)</f>
        <v>1.4896249370969842E-15</v>
      </c>
      <c r="AG323" s="37" t="str">
        <f t="shared" si="5"/>
        <v>Valid</v>
      </c>
    </row>
    <row r="324" spans="1:33" x14ac:dyDescent="0.35">
      <c r="A324" s="18"/>
      <c r="B324" s="19" t="s">
        <v>23</v>
      </c>
      <c r="C324" s="20">
        <v>216</v>
      </c>
      <c r="D324" s="21">
        <v>216</v>
      </c>
      <c r="E324" s="21">
        <v>216</v>
      </c>
      <c r="F324" s="21">
        <v>216</v>
      </c>
      <c r="G324" s="21">
        <v>216</v>
      </c>
      <c r="H324" s="21">
        <v>216</v>
      </c>
      <c r="I324" s="21">
        <v>216</v>
      </c>
      <c r="J324" s="21">
        <v>216</v>
      </c>
      <c r="K324" s="21">
        <v>216</v>
      </c>
      <c r="L324" s="21">
        <v>216</v>
      </c>
      <c r="M324" s="21">
        <v>216</v>
      </c>
      <c r="N324" s="21">
        <v>216</v>
      </c>
      <c r="O324" s="21">
        <v>216</v>
      </c>
      <c r="P324" s="21">
        <v>216</v>
      </c>
      <c r="Q324" s="21">
        <v>216</v>
      </c>
      <c r="R324" s="21">
        <v>216</v>
      </c>
      <c r="S324" s="21">
        <v>216</v>
      </c>
      <c r="T324" s="21">
        <v>216</v>
      </c>
      <c r="U324" s="21">
        <v>216</v>
      </c>
      <c r="V324" s="21">
        <v>216</v>
      </c>
      <c r="W324" s="21">
        <v>216</v>
      </c>
      <c r="X324" s="21">
        <v>216</v>
      </c>
      <c r="Y324" s="21">
        <v>216</v>
      </c>
      <c r="Z324" s="21">
        <v>216</v>
      </c>
      <c r="AA324" s="21">
        <v>216</v>
      </c>
      <c r="AB324" s="22">
        <v>216</v>
      </c>
      <c r="AC324" s="2"/>
      <c r="AD324" s="37" t="str" cm="1">
        <f t="array" ref="AD324">INDEX(A:A, (ROW()*3)-(ROW($W$316)*2))</f>
        <v>KD9</v>
      </c>
      <c r="AE324" s="37" t="str" cm="1">
        <f t="array" ref="AE324">INDEX(AB:AB, (ROW()*3)-(ROW($W$316)*2))</f>
        <v>0,400**</v>
      </c>
      <c r="AF324" s="39" cm="1">
        <f t="array" ref="AF324">INDEX(AB:AB, (ROW()*3)-(ROW($W$316)*2)+1)</f>
        <v>1.0460719133979247E-9</v>
      </c>
      <c r="AG324" s="37" t="str">
        <f t="shared" si="5"/>
        <v>Valid</v>
      </c>
    </row>
    <row r="325" spans="1:33" ht="34.5" x14ac:dyDescent="0.35">
      <c r="A325" s="18" t="s">
        <v>107</v>
      </c>
      <c r="B325" s="14" t="s">
        <v>21</v>
      </c>
      <c r="C325" s="23" t="s">
        <v>491</v>
      </c>
      <c r="D325" s="25" t="s">
        <v>195</v>
      </c>
      <c r="E325" s="16">
        <v>0.11249397270941947</v>
      </c>
      <c r="F325" s="24">
        <v>1</v>
      </c>
      <c r="G325" s="25" t="s">
        <v>282</v>
      </c>
      <c r="H325" s="16">
        <v>3.275902732603956E-2</v>
      </c>
      <c r="I325" s="16">
        <v>7.3570687040982394E-2</v>
      </c>
      <c r="J325" s="16">
        <v>9.8534233572223268E-2</v>
      </c>
      <c r="K325" s="16">
        <v>3.6080103201402647E-2</v>
      </c>
      <c r="L325" s="16">
        <v>-5.8643211676201984E-2</v>
      </c>
      <c r="M325" s="25" t="s">
        <v>301</v>
      </c>
      <c r="N325" s="16">
        <v>0.13318684204197875</v>
      </c>
      <c r="O325" s="16">
        <v>-8.2373209978210502E-2</v>
      </c>
      <c r="P325" s="16">
        <v>-4.4111150155084801E-2</v>
      </c>
      <c r="Q325" s="16">
        <v>2.2187265441394131E-2</v>
      </c>
      <c r="R325" s="25" t="s">
        <v>529</v>
      </c>
      <c r="S325" s="25" t="s">
        <v>530</v>
      </c>
      <c r="T325" s="25" t="s">
        <v>491</v>
      </c>
      <c r="U325" s="16">
        <v>-7.0712775031961536E-2</v>
      </c>
      <c r="V325" s="25" t="s">
        <v>315</v>
      </c>
      <c r="W325" s="25" t="s">
        <v>546</v>
      </c>
      <c r="X325" s="16">
        <v>8.3588889826651566E-2</v>
      </c>
      <c r="Y325" s="25" t="s">
        <v>465</v>
      </c>
      <c r="Z325" s="25" t="s">
        <v>199</v>
      </c>
      <c r="AA325" s="16">
        <v>-9.3647014613132018E-2</v>
      </c>
      <c r="AB325" s="26" t="s">
        <v>324</v>
      </c>
      <c r="AC325" s="2"/>
      <c r="AD325" s="37" t="str" cm="1">
        <f t="array" ref="AD325">INDEX(A:A, (ROW()*3)-(ROW($W$316)*2))</f>
        <v>KD10</v>
      </c>
      <c r="AE325" s="37" t="str" cm="1">
        <f t="array" ref="AE325">INDEX(AB:AB, (ROW()*3)-(ROW($W$316)*2))</f>
        <v>0,505**</v>
      </c>
      <c r="AF325" s="39" cm="1">
        <f t="array" ref="AF325">INDEX(AB:AB, (ROW()*3)-(ROW($W$316)*2)+1)</f>
        <v>2.2650812897358522E-15</v>
      </c>
      <c r="AG325" s="37" t="str">
        <f t="shared" si="5"/>
        <v>Valid</v>
      </c>
    </row>
    <row r="326" spans="1:33" ht="23" x14ac:dyDescent="0.35">
      <c r="A326" s="13"/>
      <c r="B326" s="14" t="s">
        <v>22</v>
      </c>
      <c r="C326" s="27">
        <v>6.9988745872136878E-4</v>
      </c>
      <c r="D326" s="16">
        <v>2.271676243897397E-2</v>
      </c>
      <c r="E326" s="16">
        <v>9.9155443694654885E-2</v>
      </c>
      <c r="F326" s="28"/>
      <c r="G326" s="16">
        <v>2.8826171329546517E-3</v>
      </c>
      <c r="H326" s="16">
        <v>0.63208640298447971</v>
      </c>
      <c r="I326" s="16">
        <v>0.28172636677153151</v>
      </c>
      <c r="J326" s="16">
        <v>0.14894635758393268</v>
      </c>
      <c r="K326" s="16">
        <v>0.59794227419452861</v>
      </c>
      <c r="L326" s="16">
        <v>0.39110619832665505</v>
      </c>
      <c r="M326" s="16">
        <v>3.972938451355274E-3</v>
      </c>
      <c r="N326" s="16">
        <v>5.060687678105473E-2</v>
      </c>
      <c r="O326" s="16">
        <v>0.22794886881465942</v>
      </c>
      <c r="P326" s="16">
        <v>0.51902369518733904</v>
      </c>
      <c r="Q326" s="16">
        <v>0.74576187765640078</v>
      </c>
      <c r="R326" s="16">
        <v>1.1867942970263662E-2</v>
      </c>
      <c r="S326" s="16">
        <v>2.1562956361343333E-6</v>
      </c>
      <c r="T326" s="16">
        <v>6.7992379209812399E-4</v>
      </c>
      <c r="U326" s="16">
        <v>0.30089004641454764</v>
      </c>
      <c r="V326" s="16">
        <v>3.575353244105089E-8</v>
      </c>
      <c r="W326" s="16">
        <v>3.9516307619783338E-95</v>
      </c>
      <c r="X326" s="16">
        <v>0.22113532265420702</v>
      </c>
      <c r="Y326" s="16">
        <v>2.6652274832561738E-2</v>
      </c>
      <c r="Z326" s="16">
        <v>3.3867379249319231E-3</v>
      </c>
      <c r="AA326" s="16">
        <v>0.17026469814627379</v>
      </c>
      <c r="AB326" s="17">
        <v>7.8431490480436482E-9</v>
      </c>
      <c r="AC326" s="2"/>
      <c r="AD326" s="37" t="str" cm="1">
        <f t="array" ref="AD326">INDEX(A:A, (ROW()*3)-(ROW($W$316)*2))</f>
        <v>KD11</v>
      </c>
      <c r="AE326" s="37" t="str" cm="1">
        <f t="array" ref="AE326">INDEX(AB:AB, (ROW()*3)-(ROW($W$316)*2))</f>
        <v>0,361**</v>
      </c>
      <c r="AF326" s="39" cm="1">
        <f t="array" ref="AF326">INDEX(AB:AB, (ROW()*3)-(ROW($W$316)*2)+1)</f>
        <v>4.9419474387253888E-8</v>
      </c>
      <c r="AG326" s="37" t="str">
        <f t="shared" si="5"/>
        <v>Valid</v>
      </c>
    </row>
    <row r="327" spans="1:33" x14ac:dyDescent="0.35">
      <c r="A327" s="18"/>
      <c r="B327" s="19" t="s">
        <v>23</v>
      </c>
      <c r="C327" s="20">
        <v>216</v>
      </c>
      <c r="D327" s="21">
        <v>216</v>
      </c>
      <c r="E327" s="21">
        <v>216</v>
      </c>
      <c r="F327" s="21">
        <v>216</v>
      </c>
      <c r="G327" s="21">
        <v>216</v>
      </c>
      <c r="H327" s="21">
        <v>216</v>
      </c>
      <c r="I327" s="21">
        <v>216</v>
      </c>
      <c r="J327" s="21">
        <v>216</v>
      </c>
      <c r="K327" s="21">
        <v>216</v>
      </c>
      <c r="L327" s="21">
        <v>216</v>
      </c>
      <c r="M327" s="21">
        <v>216</v>
      </c>
      <c r="N327" s="21">
        <v>216</v>
      </c>
      <c r="O327" s="21">
        <v>216</v>
      </c>
      <c r="P327" s="21">
        <v>216</v>
      </c>
      <c r="Q327" s="21">
        <v>216</v>
      </c>
      <c r="R327" s="21">
        <v>216</v>
      </c>
      <c r="S327" s="21">
        <v>216</v>
      </c>
      <c r="T327" s="21">
        <v>216</v>
      </c>
      <c r="U327" s="21">
        <v>216</v>
      </c>
      <c r="V327" s="21">
        <v>216</v>
      </c>
      <c r="W327" s="21">
        <v>216</v>
      </c>
      <c r="X327" s="21">
        <v>216</v>
      </c>
      <c r="Y327" s="21">
        <v>216</v>
      </c>
      <c r="Z327" s="21">
        <v>216</v>
      </c>
      <c r="AA327" s="21">
        <v>216</v>
      </c>
      <c r="AB327" s="22">
        <v>216</v>
      </c>
      <c r="AC327" s="2"/>
      <c r="AD327" s="37" t="str" cm="1">
        <f t="array" ref="AD327">INDEX(A:A, (ROW()*3)-(ROW($W$316)*2))</f>
        <v>KD12</v>
      </c>
      <c r="AE327" s="37" t="str" cm="1">
        <f t="array" ref="AE327">INDEX(AB:AB, (ROW()*3)-(ROW($W$316)*2))</f>
        <v>0,534**</v>
      </c>
      <c r="AF327" s="39" cm="1">
        <f t="array" ref="AF327">INDEX(AB:AB, (ROW()*3)-(ROW($W$316)*2)+1)</f>
        <v>2.7094176940058449E-17</v>
      </c>
      <c r="AG327" s="37" t="str">
        <f t="shared" si="5"/>
        <v>Valid</v>
      </c>
    </row>
    <row r="328" spans="1:33" ht="34.5" x14ac:dyDescent="0.35">
      <c r="A328" s="18" t="s">
        <v>108</v>
      </c>
      <c r="B328" s="14" t="s">
        <v>21</v>
      </c>
      <c r="C328" s="23" t="s">
        <v>523</v>
      </c>
      <c r="D328" s="16">
        <v>0.10700068241628539</v>
      </c>
      <c r="E328" s="25" t="s">
        <v>383</v>
      </c>
      <c r="F328" s="25" t="s">
        <v>282</v>
      </c>
      <c r="G328" s="24">
        <v>1</v>
      </c>
      <c r="H328" s="16">
        <v>5.8924222326965127E-2</v>
      </c>
      <c r="I328" s="25" t="s">
        <v>322</v>
      </c>
      <c r="J328" s="25" t="s">
        <v>173</v>
      </c>
      <c r="K328" s="25" t="s">
        <v>460</v>
      </c>
      <c r="L328" s="25" t="s">
        <v>172</v>
      </c>
      <c r="M328" s="25" t="s">
        <v>375</v>
      </c>
      <c r="N328" s="16">
        <v>0.12151462067904976</v>
      </c>
      <c r="O328" s="25" t="s">
        <v>457</v>
      </c>
      <c r="P328" s="25" t="s">
        <v>320</v>
      </c>
      <c r="Q328" s="25" t="s">
        <v>411</v>
      </c>
      <c r="R328" s="25" t="s">
        <v>443</v>
      </c>
      <c r="S328" s="25" t="s">
        <v>190</v>
      </c>
      <c r="T328" s="25" t="s">
        <v>315</v>
      </c>
      <c r="U328" s="25" t="s">
        <v>527</v>
      </c>
      <c r="V328" s="25" t="s">
        <v>301</v>
      </c>
      <c r="W328" s="25" t="s">
        <v>385</v>
      </c>
      <c r="X328" s="25" t="s">
        <v>547</v>
      </c>
      <c r="Y328" s="25" t="s">
        <v>282</v>
      </c>
      <c r="Z328" s="25" t="s">
        <v>202</v>
      </c>
      <c r="AA328" s="25" t="s">
        <v>195</v>
      </c>
      <c r="AB328" s="26" t="s">
        <v>554</v>
      </c>
      <c r="AC328" s="2"/>
      <c r="AD328" s="37" t="str" cm="1">
        <f t="array" ref="AD328">INDEX(A:A, (ROW()*3)-(ROW($W$316)*2))</f>
        <v>KD13</v>
      </c>
      <c r="AE328" s="37" t="str" cm="1">
        <f t="array" ref="AE328">INDEX(AB:AB, (ROW()*3)-(ROW($W$316)*2))</f>
        <v>0,556**</v>
      </c>
      <c r="AF328" s="39" cm="1">
        <f t="array" ref="AF328">INDEX(AB:AB, (ROW()*3)-(ROW($W$316)*2)+1)</f>
        <v>6.7814126413644507E-19</v>
      </c>
      <c r="AG328" s="37" t="str">
        <f t="shared" si="5"/>
        <v>Valid</v>
      </c>
    </row>
    <row r="329" spans="1:33" ht="23" x14ac:dyDescent="0.35">
      <c r="A329" s="13"/>
      <c r="B329" s="14" t="s">
        <v>22</v>
      </c>
      <c r="C329" s="27">
        <v>4.0706348816976545E-4</v>
      </c>
      <c r="D329" s="16">
        <v>0.11688993032803703</v>
      </c>
      <c r="E329" s="16">
        <v>1.1796723290006888E-4</v>
      </c>
      <c r="F329" s="16">
        <v>2.8826171329546517E-3</v>
      </c>
      <c r="G329" s="28"/>
      <c r="H329" s="16">
        <v>0.38883627618956251</v>
      </c>
      <c r="I329" s="16">
        <v>8.785178051284492E-7</v>
      </c>
      <c r="J329" s="16">
        <v>6.6678366407904529E-9</v>
      </c>
      <c r="K329" s="16">
        <v>1.248212629609049E-2</v>
      </c>
      <c r="L329" s="16">
        <v>9.6309928106993372E-3</v>
      </c>
      <c r="M329" s="16">
        <v>3.2197034214596931E-3</v>
      </c>
      <c r="N329" s="16">
        <v>7.4726396591511049E-2</v>
      </c>
      <c r="O329" s="16">
        <v>5.3873579548242507E-3</v>
      </c>
      <c r="P329" s="16">
        <v>3.6432673699436511E-4</v>
      </c>
      <c r="Q329" s="16">
        <v>5.1809579046950827E-6</v>
      </c>
      <c r="R329" s="16">
        <v>1.2270819109117052E-33</v>
      </c>
      <c r="S329" s="16">
        <v>4.1655213354469478E-2</v>
      </c>
      <c r="T329" s="16">
        <v>3.7786743731979231E-8</v>
      </c>
      <c r="U329" s="16">
        <v>7.9961528748846364E-3</v>
      </c>
      <c r="V329" s="16">
        <v>3.995671658598981E-3</v>
      </c>
      <c r="W329" s="16">
        <v>1.3770711771459674E-2</v>
      </c>
      <c r="X329" s="16">
        <v>3.4585810637025742E-9</v>
      </c>
      <c r="Y329" s="16">
        <v>2.8601235158178728E-3</v>
      </c>
      <c r="Z329" s="16">
        <v>7.7842336805285495E-7</v>
      </c>
      <c r="AA329" s="16">
        <v>2.2934388905716956E-2</v>
      </c>
      <c r="AB329" s="17">
        <v>7.5775299925195665E-20</v>
      </c>
      <c r="AC329" s="2"/>
      <c r="AD329" s="37" t="str" cm="1">
        <f t="array" ref="AD329">INDEX(A:A, (ROW()*3)-(ROW($W$316)*2))</f>
        <v>KD14</v>
      </c>
      <c r="AE329" s="37" t="str" cm="1">
        <f t="array" ref="AE329">INDEX(AB:AB, (ROW()*3)-(ROW($W$316)*2))</f>
        <v>0,552**</v>
      </c>
      <c r="AF329" s="39" cm="1">
        <f t="array" ref="AF329">INDEX(AB:AB, (ROW()*3)-(ROW($W$316)*2)+1)</f>
        <v>1.2011976452410652E-18</v>
      </c>
      <c r="AG329" s="37" t="str">
        <f t="shared" si="5"/>
        <v>Valid</v>
      </c>
    </row>
    <row r="330" spans="1:33" x14ac:dyDescent="0.35">
      <c r="A330" s="18"/>
      <c r="B330" s="19" t="s">
        <v>23</v>
      </c>
      <c r="C330" s="20">
        <v>216</v>
      </c>
      <c r="D330" s="21">
        <v>216</v>
      </c>
      <c r="E330" s="21">
        <v>216</v>
      </c>
      <c r="F330" s="21">
        <v>216</v>
      </c>
      <c r="G330" s="21">
        <v>216</v>
      </c>
      <c r="H330" s="21">
        <v>216</v>
      </c>
      <c r="I330" s="21">
        <v>216</v>
      </c>
      <c r="J330" s="21">
        <v>216</v>
      </c>
      <c r="K330" s="21">
        <v>216</v>
      </c>
      <c r="L330" s="21">
        <v>216</v>
      </c>
      <c r="M330" s="21">
        <v>216</v>
      </c>
      <c r="N330" s="21">
        <v>216</v>
      </c>
      <c r="O330" s="21">
        <v>216</v>
      </c>
      <c r="P330" s="21">
        <v>216</v>
      </c>
      <c r="Q330" s="21">
        <v>216</v>
      </c>
      <c r="R330" s="21">
        <v>216</v>
      </c>
      <c r="S330" s="21">
        <v>216</v>
      </c>
      <c r="T330" s="21">
        <v>216</v>
      </c>
      <c r="U330" s="21">
        <v>216</v>
      </c>
      <c r="V330" s="21">
        <v>216</v>
      </c>
      <c r="W330" s="21">
        <v>216</v>
      </c>
      <c r="X330" s="21">
        <v>216</v>
      </c>
      <c r="Y330" s="21">
        <v>216</v>
      </c>
      <c r="Z330" s="21">
        <v>216</v>
      </c>
      <c r="AA330" s="21">
        <v>216</v>
      </c>
      <c r="AB330" s="22">
        <v>216</v>
      </c>
      <c r="AC330" s="2"/>
      <c r="AD330" s="37" t="str" cm="1">
        <f t="array" ref="AD330">INDEX(A:A, (ROW()*3)-(ROW($W$316)*2))</f>
        <v>KD15</v>
      </c>
      <c r="AE330" s="37" t="str" cm="1">
        <f t="array" ref="AE330">INDEX(AB:AB, (ROW()*3)-(ROW($W$316)*2))</f>
        <v>0,495**</v>
      </c>
      <c r="AF330" s="39" cm="1">
        <f t="array" ref="AF330">INDEX(AB:AB, (ROW()*3)-(ROW($W$316)*2)+1)</f>
        <v>9.8134851228473352E-15</v>
      </c>
      <c r="AG330" s="37" t="str">
        <f t="shared" si="5"/>
        <v>Valid</v>
      </c>
    </row>
    <row r="331" spans="1:33" ht="34.5" x14ac:dyDescent="0.35">
      <c r="A331" s="18" t="s">
        <v>109</v>
      </c>
      <c r="B331" s="14" t="s">
        <v>21</v>
      </c>
      <c r="C331" s="23" t="s">
        <v>524</v>
      </c>
      <c r="D331" s="25" t="s">
        <v>375</v>
      </c>
      <c r="E331" s="25" t="s">
        <v>527</v>
      </c>
      <c r="F331" s="16">
        <v>3.275902732603956E-2</v>
      </c>
      <c r="G331" s="16">
        <v>5.8924222326965127E-2</v>
      </c>
      <c r="H331" s="24">
        <v>1</v>
      </c>
      <c r="I331" s="25" t="s">
        <v>260</v>
      </c>
      <c r="J331" s="16">
        <v>0.10508516080922352</v>
      </c>
      <c r="K331" s="25" t="s">
        <v>193</v>
      </c>
      <c r="L331" s="25" t="s">
        <v>464</v>
      </c>
      <c r="M331" s="16">
        <v>-9.5605423498215492E-2</v>
      </c>
      <c r="N331" s="25" t="s">
        <v>371</v>
      </c>
      <c r="O331" s="25" t="s">
        <v>210</v>
      </c>
      <c r="P331" s="25" t="s">
        <v>199</v>
      </c>
      <c r="Q331" s="25" t="s">
        <v>282</v>
      </c>
      <c r="R331" s="25" t="s">
        <v>460</v>
      </c>
      <c r="S331" s="16">
        <v>0.12889252522821193</v>
      </c>
      <c r="T331" s="16">
        <v>0.12836018117952191</v>
      </c>
      <c r="U331" s="16">
        <v>3.6565117681280256E-2</v>
      </c>
      <c r="V331" s="25" t="s">
        <v>338</v>
      </c>
      <c r="W331" s="16">
        <v>6.2582112618175229E-2</v>
      </c>
      <c r="X331" s="25" t="s">
        <v>264</v>
      </c>
      <c r="Y331" s="16">
        <v>0.13021105117071463</v>
      </c>
      <c r="Z331" s="25" t="s">
        <v>146</v>
      </c>
      <c r="AA331" s="16">
        <v>6.8545713399402797E-2</v>
      </c>
      <c r="AB331" s="26" t="s">
        <v>555</v>
      </c>
      <c r="AC331" s="2"/>
      <c r="AD331" s="37" t="str" cm="1">
        <f t="array" ref="AD331">INDEX(A:A, (ROW()*3)-(ROW($W$316)*2))</f>
        <v>KD16</v>
      </c>
      <c r="AE331" s="37" t="str" cm="1">
        <f t="array" ref="AE331">INDEX(AB:AB, (ROW()*3)-(ROW($W$316)*2))</f>
        <v>0,530**</v>
      </c>
      <c r="AF331" s="39" cm="1">
        <f t="array" ref="AF331">INDEX(AB:AB, (ROW()*3)-(ROW($W$316)*2)+1)</f>
        <v>4.8759113494875532E-17</v>
      </c>
      <c r="AG331" s="37" t="str">
        <f t="shared" si="5"/>
        <v>Valid</v>
      </c>
    </row>
    <row r="332" spans="1:33" ht="23" x14ac:dyDescent="0.35">
      <c r="A332" s="13"/>
      <c r="B332" s="14" t="s">
        <v>22</v>
      </c>
      <c r="C332" s="27">
        <v>4.0495297852071157E-5</v>
      </c>
      <c r="D332" s="16">
        <v>3.1236547892884788E-3</v>
      </c>
      <c r="E332" s="16">
        <v>8.0024040815369155E-3</v>
      </c>
      <c r="F332" s="16">
        <v>0.63208640298447971</v>
      </c>
      <c r="G332" s="16">
        <v>0.38883627618956251</v>
      </c>
      <c r="H332" s="28"/>
      <c r="I332" s="16">
        <v>2.3001759425319305E-6</v>
      </c>
      <c r="J332" s="16">
        <v>0.12362501602884422</v>
      </c>
      <c r="K332" s="16">
        <v>6.911214388720876E-6</v>
      </c>
      <c r="L332" s="16">
        <v>2.3066068079459295E-3</v>
      </c>
      <c r="M332" s="16">
        <v>0.1614644517833137</v>
      </c>
      <c r="N332" s="16">
        <v>9.1108389419238347E-4</v>
      </c>
      <c r="O332" s="16">
        <v>1.9703048369712618E-3</v>
      </c>
      <c r="P332" s="16">
        <v>3.3497101570078174E-3</v>
      </c>
      <c r="Q332" s="16">
        <v>2.9160079608557292E-3</v>
      </c>
      <c r="R332" s="16">
        <v>1.260210378220207E-2</v>
      </c>
      <c r="S332" s="16">
        <v>5.8593645193737547E-2</v>
      </c>
      <c r="T332" s="16">
        <v>5.9652467916795911E-2</v>
      </c>
      <c r="U332" s="16">
        <v>0.59302620696037667</v>
      </c>
      <c r="V332" s="16">
        <v>9.3586900523698105E-9</v>
      </c>
      <c r="W332" s="16">
        <v>0.36002045959878914</v>
      </c>
      <c r="X332" s="16">
        <v>2.7384089823143015E-9</v>
      </c>
      <c r="Y332" s="16">
        <v>5.6037716081477625E-2</v>
      </c>
      <c r="Z332" s="16">
        <v>4.3178700219669765E-3</v>
      </c>
      <c r="AA332" s="16">
        <v>0.31598316896829459</v>
      </c>
      <c r="AB332" s="17">
        <v>3.5802542758583297E-10</v>
      </c>
      <c r="AC332" s="2"/>
      <c r="AD332" s="37" t="str" cm="1">
        <f t="array" ref="AD332">INDEX(A:A, (ROW()*3)-(ROW($W$316)*2))</f>
        <v>KD17</v>
      </c>
      <c r="AE332" s="37" t="str" cm="1">
        <f t="array" ref="AE332">INDEX(AB:AB, (ROW()*3)-(ROW($W$316)*2))</f>
        <v>0,449**</v>
      </c>
      <c r="AF332" s="39" cm="1">
        <f t="array" ref="AF332">INDEX(AB:AB, (ROW()*3)-(ROW($W$316)*2)+1)</f>
        <v>3.9098896961934072E-12</v>
      </c>
      <c r="AG332" s="37" t="str">
        <f t="shared" si="5"/>
        <v>Valid</v>
      </c>
    </row>
    <row r="333" spans="1:33" x14ac:dyDescent="0.35">
      <c r="A333" s="18"/>
      <c r="B333" s="19" t="s">
        <v>23</v>
      </c>
      <c r="C333" s="20">
        <v>216</v>
      </c>
      <c r="D333" s="21">
        <v>216</v>
      </c>
      <c r="E333" s="21">
        <v>216</v>
      </c>
      <c r="F333" s="21">
        <v>216</v>
      </c>
      <c r="G333" s="21">
        <v>216</v>
      </c>
      <c r="H333" s="21">
        <v>216</v>
      </c>
      <c r="I333" s="21">
        <v>216</v>
      </c>
      <c r="J333" s="21">
        <v>216</v>
      </c>
      <c r="K333" s="21">
        <v>216</v>
      </c>
      <c r="L333" s="21">
        <v>216</v>
      </c>
      <c r="M333" s="21">
        <v>216</v>
      </c>
      <c r="N333" s="21">
        <v>216</v>
      </c>
      <c r="O333" s="21">
        <v>216</v>
      </c>
      <c r="P333" s="21">
        <v>216</v>
      </c>
      <c r="Q333" s="21">
        <v>216</v>
      </c>
      <c r="R333" s="21">
        <v>216</v>
      </c>
      <c r="S333" s="21">
        <v>216</v>
      </c>
      <c r="T333" s="21">
        <v>216</v>
      </c>
      <c r="U333" s="21">
        <v>216</v>
      </c>
      <c r="V333" s="21">
        <v>216</v>
      </c>
      <c r="W333" s="21">
        <v>216</v>
      </c>
      <c r="X333" s="21">
        <v>216</v>
      </c>
      <c r="Y333" s="21">
        <v>216</v>
      </c>
      <c r="Z333" s="21">
        <v>216</v>
      </c>
      <c r="AA333" s="21">
        <v>216</v>
      </c>
      <c r="AB333" s="22">
        <v>216</v>
      </c>
      <c r="AC333" s="2"/>
      <c r="AD333" s="37" t="str" cm="1">
        <f t="array" ref="AD333">INDEX(A:A, (ROW()*3)-(ROW($W$316)*2))</f>
        <v>KD18</v>
      </c>
      <c r="AE333" s="37" t="str" cm="1">
        <f t="array" ref="AE333">INDEX(AB:AB, (ROW()*3)-(ROW($W$316)*2))</f>
        <v>0,438**</v>
      </c>
      <c r="AF333" s="39" cm="1">
        <f t="array" ref="AF333">INDEX(AB:AB, (ROW()*3)-(ROW($W$316)*2)+1)</f>
        <v>1.6199202353253986E-11</v>
      </c>
      <c r="AG333" s="37" t="str">
        <f t="shared" si="5"/>
        <v>Valid</v>
      </c>
    </row>
    <row r="334" spans="1:33" ht="34.5" x14ac:dyDescent="0.35">
      <c r="A334" s="18" t="s">
        <v>110</v>
      </c>
      <c r="B334" s="14" t="s">
        <v>21</v>
      </c>
      <c r="C334" s="23" t="s">
        <v>525</v>
      </c>
      <c r="D334" s="16">
        <v>0.10199778631119411</v>
      </c>
      <c r="E334" s="16">
        <v>0.11699245936150678</v>
      </c>
      <c r="F334" s="16">
        <v>7.3570687040982394E-2</v>
      </c>
      <c r="G334" s="25" t="s">
        <v>322</v>
      </c>
      <c r="H334" s="25" t="s">
        <v>260</v>
      </c>
      <c r="I334" s="24">
        <v>1</v>
      </c>
      <c r="J334" s="25" t="s">
        <v>335</v>
      </c>
      <c r="K334" s="25" t="s">
        <v>173</v>
      </c>
      <c r="L334" s="25" t="s">
        <v>221</v>
      </c>
      <c r="M334" s="16">
        <v>-7.9161397686819915E-2</v>
      </c>
      <c r="N334" s="25" t="s">
        <v>488</v>
      </c>
      <c r="O334" s="25" t="s">
        <v>531</v>
      </c>
      <c r="P334" s="25" t="s">
        <v>511</v>
      </c>
      <c r="Q334" s="25" t="s">
        <v>532</v>
      </c>
      <c r="R334" s="25" t="s">
        <v>324</v>
      </c>
      <c r="S334" s="25" t="s">
        <v>350</v>
      </c>
      <c r="T334" s="25" t="s">
        <v>178</v>
      </c>
      <c r="U334" s="25" t="s">
        <v>541</v>
      </c>
      <c r="V334" s="25" t="s">
        <v>497</v>
      </c>
      <c r="W334" s="16">
        <v>0.11130076718452679</v>
      </c>
      <c r="X334" s="25" t="s">
        <v>338</v>
      </c>
      <c r="Y334" s="16">
        <v>4.8103256954004414E-2</v>
      </c>
      <c r="Z334" s="25" t="s">
        <v>142</v>
      </c>
      <c r="AA334" s="25" t="s">
        <v>551</v>
      </c>
      <c r="AB334" s="26" t="s">
        <v>356</v>
      </c>
      <c r="AC334" s="2"/>
      <c r="AD334" s="37" t="str" cm="1">
        <f t="array" ref="AD334">INDEX(A:A, (ROW()*3)-(ROW($W$316)*2))</f>
        <v>KD19</v>
      </c>
      <c r="AE334" s="37" t="str" cm="1">
        <f t="array" ref="AE334">INDEX(AB:AB, (ROW()*3)-(ROW($W$316)*2))</f>
        <v>0,480**</v>
      </c>
      <c r="AF334" s="39" cm="1">
        <f t="array" ref="AF334">INDEX(AB:AB, (ROW()*3)-(ROW($W$316)*2)+1)</f>
        <v>8.0689693135154523E-14</v>
      </c>
      <c r="AG334" s="37" t="str">
        <f t="shared" si="5"/>
        <v>Valid</v>
      </c>
    </row>
    <row r="335" spans="1:33" ht="23" x14ac:dyDescent="0.35">
      <c r="A335" s="13"/>
      <c r="B335" s="14" t="s">
        <v>22</v>
      </c>
      <c r="C335" s="27">
        <v>2.4196924531353838E-2</v>
      </c>
      <c r="D335" s="16">
        <v>0.13510854607952311</v>
      </c>
      <c r="E335" s="16">
        <v>8.628117718390596E-2</v>
      </c>
      <c r="F335" s="16">
        <v>0.28172636677153151</v>
      </c>
      <c r="G335" s="16">
        <v>8.785178051284492E-7</v>
      </c>
      <c r="H335" s="16">
        <v>2.3001759425319305E-6</v>
      </c>
      <c r="I335" s="28"/>
      <c r="J335" s="16">
        <v>8.3910293803779036E-5</v>
      </c>
      <c r="K335" s="16">
        <v>6.3992297416091555E-9</v>
      </c>
      <c r="L335" s="16">
        <v>5.3762202759696533E-7</v>
      </c>
      <c r="M335" s="16">
        <v>0.24666072649732582</v>
      </c>
      <c r="N335" s="16">
        <v>1.0495470837720447E-3</v>
      </c>
      <c r="O335" s="16">
        <v>2.5651420127641179E-8</v>
      </c>
      <c r="P335" s="16">
        <v>4.3684202326865945E-8</v>
      </c>
      <c r="Q335" s="16">
        <v>7.1195346261043036E-7</v>
      </c>
      <c r="R335" s="16">
        <v>8.1718293881429653E-9</v>
      </c>
      <c r="S335" s="16">
        <v>1.1650342652106552E-3</v>
      </c>
      <c r="T335" s="16">
        <v>7.9758505238253691E-5</v>
      </c>
      <c r="U335" s="16">
        <v>2.8704357928298273E-13</v>
      </c>
      <c r="V335" s="16">
        <v>1.1066911439761491E-8</v>
      </c>
      <c r="W335" s="16">
        <v>0.10281406214089897</v>
      </c>
      <c r="X335" s="16">
        <v>9.1644865347000428E-9</v>
      </c>
      <c r="Y335" s="16">
        <v>0.48188397383973225</v>
      </c>
      <c r="Z335" s="16">
        <v>6.5763599914034838E-7</v>
      </c>
      <c r="AA335" s="16">
        <v>1.9661064457736643E-13</v>
      </c>
      <c r="AB335" s="17">
        <v>8.1378796509482317E-22</v>
      </c>
      <c r="AC335" s="2"/>
      <c r="AD335" s="37" t="str" cm="1">
        <f t="array" ref="AD335">INDEX(A:A, (ROW()*3)-(ROW($W$316)*2))</f>
        <v>KD20</v>
      </c>
      <c r="AE335" s="37" t="str" cm="1">
        <f t="array" ref="AE335">INDEX(AB:AB, (ROW()*3)-(ROW($W$316)*2))</f>
        <v>0,714**</v>
      </c>
      <c r="AF335" s="39" cm="1">
        <f t="array" ref="AF335">INDEX(AB:AB, (ROW()*3)-(ROW($W$316)*2)+1)</f>
        <v>6.2812239494007949E-35</v>
      </c>
      <c r="AG335" s="37" t="str">
        <f t="shared" si="5"/>
        <v>Valid</v>
      </c>
    </row>
    <row r="336" spans="1:33" x14ac:dyDescent="0.35">
      <c r="A336" s="18"/>
      <c r="B336" s="19" t="s">
        <v>23</v>
      </c>
      <c r="C336" s="20">
        <v>216</v>
      </c>
      <c r="D336" s="21">
        <v>216</v>
      </c>
      <c r="E336" s="21">
        <v>216</v>
      </c>
      <c r="F336" s="21">
        <v>216</v>
      </c>
      <c r="G336" s="21">
        <v>216</v>
      </c>
      <c r="H336" s="21">
        <v>216</v>
      </c>
      <c r="I336" s="21">
        <v>216</v>
      </c>
      <c r="J336" s="21">
        <v>216</v>
      </c>
      <c r="K336" s="21">
        <v>216</v>
      </c>
      <c r="L336" s="21">
        <v>216</v>
      </c>
      <c r="M336" s="21">
        <v>216</v>
      </c>
      <c r="N336" s="21">
        <v>216</v>
      </c>
      <c r="O336" s="21">
        <v>216</v>
      </c>
      <c r="P336" s="21">
        <v>216</v>
      </c>
      <c r="Q336" s="21">
        <v>216</v>
      </c>
      <c r="R336" s="21">
        <v>216</v>
      </c>
      <c r="S336" s="21">
        <v>216</v>
      </c>
      <c r="T336" s="21">
        <v>216</v>
      </c>
      <c r="U336" s="21">
        <v>216</v>
      </c>
      <c r="V336" s="21">
        <v>216</v>
      </c>
      <c r="W336" s="21">
        <v>216</v>
      </c>
      <c r="X336" s="21">
        <v>216</v>
      </c>
      <c r="Y336" s="21">
        <v>216</v>
      </c>
      <c r="Z336" s="21">
        <v>216</v>
      </c>
      <c r="AA336" s="21">
        <v>216</v>
      </c>
      <c r="AB336" s="22">
        <v>216</v>
      </c>
      <c r="AC336" s="2"/>
      <c r="AD336" s="37" t="str" cm="1">
        <f t="array" ref="AD336">INDEX(A:A, (ROW()*3)-(ROW($W$316)*2))</f>
        <v>KD21</v>
      </c>
      <c r="AE336" s="37" t="str" cm="1">
        <f t="array" ref="AE336">INDEX(AB:AB, (ROW()*3)-(ROW($W$316)*2))</f>
        <v>0,383**</v>
      </c>
      <c r="AF336" s="39" cm="1">
        <f t="array" ref="AF336">INDEX(AB:AB, (ROW()*3)-(ROW($W$316)*2)+1)</f>
        <v>5.7877502151583809E-9</v>
      </c>
      <c r="AG336" s="37" t="str">
        <f t="shared" si="5"/>
        <v>Valid</v>
      </c>
    </row>
    <row r="337" spans="1:33" ht="34.5" x14ac:dyDescent="0.35">
      <c r="A337" s="18" t="s">
        <v>111</v>
      </c>
      <c r="B337" s="14" t="s">
        <v>21</v>
      </c>
      <c r="C337" s="23" t="s">
        <v>507</v>
      </c>
      <c r="D337" s="25" t="s">
        <v>264</v>
      </c>
      <c r="E337" s="16">
        <v>2.8694642093764038E-2</v>
      </c>
      <c r="F337" s="16">
        <v>9.8534233572223268E-2</v>
      </c>
      <c r="G337" s="25" t="s">
        <v>173</v>
      </c>
      <c r="H337" s="16">
        <v>0.10508516080922352</v>
      </c>
      <c r="I337" s="25" t="s">
        <v>335</v>
      </c>
      <c r="J337" s="24">
        <v>1</v>
      </c>
      <c r="K337" s="25" t="s">
        <v>156</v>
      </c>
      <c r="L337" s="25" t="s">
        <v>420</v>
      </c>
      <c r="M337" s="25" t="s">
        <v>533</v>
      </c>
      <c r="N337" s="25" t="s">
        <v>534</v>
      </c>
      <c r="O337" s="25" t="s">
        <v>259</v>
      </c>
      <c r="P337" s="25" t="s">
        <v>535</v>
      </c>
      <c r="Q337" s="25" t="s">
        <v>184</v>
      </c>
      <c r="R337" s="25" t="s">
        <v>209</v>
      </c>
      <c r="S337" s="25" t="s">
        <v>179</v>
      </c>
      <c r="T337" s="16">
        <v>7.6208508431053659E-2</v>
      </c>
      <c r="U337" s="25" t="s">
        <v>407</v>
      </c>
      <c r="V337" s="25" t="s">
        <v>136</v>
      </c>
      <c r="W337" s="16">
        <v>6.8388722125357099E-2</v>
      </c>
      <c r="X337" s="16">
        <v>8.4649830731650874E-2</v>
      </c>
      <c r="Y337" s="25" t="s">
        <v>465</v>
      </c>
      <c r="Z337" s="25" t="s">
        <v>291</v>
      </c>
      <c r="AA337" s="25" t="s">
        <v>291</v>
      </c>
      <c r="AB337" s="26" t="s">
        <v>347</v>
      </c>
      <c r="AC337" s="2"/>
      <c r="AD337" s="37" t="str" cm="1">
        <f t="array" ref="AD337">INDEX(A:A, (ROW()*3)-(ROW($W$316)*2))</f>
        <v>KD22</v>
      </c>
      <c r="AE337" s="37" t="str" cm="1">
        <f t="array" ref="AE337">INDEX(AB:AB, (ROW()*3)-(ROW($W$316)*2))</f>
        <v>0,525**</v>
      </c>
      <c r="AF337" s="39" cm="1">
        <f t="array" ref="AF337">INDEX(AB:AB, (ROW()*3)-(ROW($W$316)*2)+1)</f>
        <v>1.0742444544077284E-16</v>
      </c>
      <c r="AG337" s="37" t="str">
        <f t="shared" si="5"/>
        <v>Valid</v>
      </c>
    </row>
    <row r="338" spans="1:33" ht="23" x14ac:dyDescent="0.35">
      <c r="A338" s="13"/>
      <c r="B338" s="14" t="s">
        <v>22</v>
      </c>
      <c r="C338" s="27">
        <v>6.014116521524509E-4</v>
      </c>
      <c r="D338" s="16">
        <v>2.7881980626586958E-9</v>
      </c>
      <c r="E338" s="16">
        <v>0.6749510721535722</v>
      </c>
      <c r="F338" s="16">
        <v>0.14894635758393268</v>
      </c>
      <c r="G338" s="16">
        <v>6.6678366407904529E-9</v>
      </c>
      <c r="H338" s="16">
        <v>0.12362501602884422</v>
      </c>
      <c r="I338" s="16">
        <v>8.3910293803779036E-5</v>
      </c>
      <c r="J338" s="28"/>
      <c r="K338" s="16">
        <v>8.706016626072664E-4</v>
      </c>
      <c r="L338" s="16">
        <v>8.3194797331825266E-12</v>
      </c>
      <c r="M338" s="16">
        <v>4.6363922266892905E-2</v>
      </c>
      <c r="N338" s="16">
        <v>1.4497883140966834E-3</v>
      </c>
      <c r="O338" s="16">
        <v>4.36610382500824E-9</v>
      </c>
      <c r="P338" s="16">
        <v>1.0115646492999597E-10</v>
      </c>
      <c r="Q338" s="16">
        <v>6.085938506302427E-3</v>
      </c>
      <c r="R338" s="16">
        <v>4.5236497908118556E-5</v>
      </c>
      <c r="S338" s="16">
        <v>2.6994824657228149E-3</v>
      </c>
      <c r="T338" s="16">
        <v>0.26478388944774062</v>
      </c>
      <c r="U338" s="16">
        <v>1.8254813768987561E-5</v>
      </c>
      <c r="V338" s="16">
        <v>1.4870649030715918E-4</v>
      </c>
      <c r="W338" s="16">
        <v>0.3170954273150523</v>
      </c>
      <c r="X338" s="16">
        <v>0.21530856815348901</v>
      </c>
      <c r="Y338" s="16">
        <v>2.6252427486535581E-2</v>
      </c>
      <c r="Z338" s="16">
        <v>6.2932271517436154E-6</v>
      </c>
      <c r="AA338" s="16">
        <v>6.0154792015594294E-6</v>
      </c>
      <c r="AB338" s="17">
        <v>1.4896249370969842E-15</v>
      </c>
      <c r="AC338" s="2"/>
      <c r="AD338" s="37" t="str" cm="1">
        <f t="array" ref="AD338">INDEX(A:A, (ROW()*3)-(ROW($W$316)*2))</f>
        <v>KD23</v>
      </c>
      <c r="AE338" s="37" t="str" cm="1">
        <f t="array" ref="AE338">INDEX(AB:AB, (ROW()*3)-(ROW($W$316)*2))</f>
        <v>0,457**</v>
      </c>
      <c r="AF338" s="39" cm="1">
        <f t="array" ref="AF338">INDEX(AB:AB, (ROW()*3)-(ROW($W$316)*2)+1)</f>
        <v>1.4786919153673864E-12</v>
      </c>
      <c r="AG338" s="37" t="str">
        <f t="shared" si="5"/>
        <v>Valid</v>
      </c>
    </row>
    <row r="339" spans="1:33" x14ac:dyDescent="0.35">
      <c r="A339" s="18"/>
      <c r="B339" s="19" t="s">
        <v>23</v>
      </c>
      <c r="C339" s="20">
        <v>216</v>
      </c>
      <c r="D339" s="21">
        <v>216</v>
      </c>
      <c r="E339" s="21">
        <v>216</v>
      </c>
      <c r="F339" s="21">
        <v>216</v>
      </c>
      <c r="G339" s="21">
        <v>216</v>
      </c>
      <c r="H339" s="21">
        <v>216</v>
      </c>
      <c r="I339" s="21">
        <v>216</v>
      </c>
      <c r="J339" s="21">
        <v>216</v>
      </c>
      <c r="K339" s="21">
        <v>216</v>
      </c>
      <c r="L339" s="21">
        <v>216</v>
      </c>
      <c r="M339" s="21">
        <v>216</v>
      </c>
      <c r="N339" s="21">
        <v>216</v>
      </c>
      <c r="O339" s="21">
        <v>216</v>
      </c>
      <c r="P339" s="21">
        <v>216</v>
      </c>
      <c r="Q339" s="21">
        <v>216</v>
      </c>
      <c r="R339" s="21">
        <v>216</v>
      </c>
      <c r="S339" s="21">
        <v>216</v>
      </c>
      <c r="T339" s="21">
        <v>216</v>
      </c>
      <c r="U339" s="21">
        <v>216</v>
      </c>
      <c r="V339" s="21">
        <v>216</v>
      </c>
      <c r="W339" s="21">
        <v>216</v>
      </c>
      <c r="X339" s="21">
        <v>216</v>
      </c>
      <c r="Y339" s="21">
        <v>216</v>
      </c>
      <c r="Z339" s="21">
        <v>216</v>
      </c>
      <c r="AA339" s="21">
        <v>216</v>
      </c>
      <c r="AB339" s="22">
        <v>216</v>
      </c>
      <c r="AC339" s="2"/>
      <c r="AD339" s="37" t="str" cm="1">
        <f t="array" ref="AD339">INDEX(A:A, (ROW()*3)-(ROW($W$316)*2))</f>
        <v>KD24</v>
      </c>
      <c r="AE339" s="37" t="str" cm="1">
        <f t="array" ref="AE339">INDEX(AB:AB, (ROW()*3)-(ROW($W$316)*2))</f>
        <v>0,546**</v>
      </c>
      <c r="AF339" s="39" cm="1">
        <f t="array" ref="AF339">INDEX(AB:AB, (ROW()*3)-(ROW($W$316)*2)+1)</f>
        <v>3.4135666289904017E-18</v>
      </c>
      <c r="AG339" s="37" t="str">
        <f t="shared" si="5"/>
        <v>Valid</v>
      </c>
    </row>
    <row r="340" spans="1:33" ht="34.5" x14ac:dyDescent="0.35">
      <c r="A340" s="18" t="s">
        <v>112</v>
      </c>
      <c r="B340" s="14" t="s">
        <v>21</v>
      </c>
      <c r="C340" s="23" t="s">
        <v>491</v>
      </c>
      <c r="D340" s="25" t="s">
        <v>335</v>
      </c>
      <c r="E340" s="25" t="s">
        <v>528</v>
      </c>
      <c r="F340" s="16">
        <v>3.6080103201402647E-2</v>
      </c>
      <c r="G340" s="25" t="s">
        <v>460</v>
      </c>
      <c r="H340" s="25" t="s">
        <v>193</v>
      </c>
      <c r="I340" s="25" t="s">
        <v>173</v>
      </c>
      <c r="J340" s="25" t="s">
        <v>156</v>
      </c>
      <c r="K340" s="24">
        <v>1</v>
      </c>
      <c r="L340" s="16">
        <v>3.8078110255742537E-2</v>
      </c>
      <c r="M340" s="25" t="s">
        <v>375</v>
      </c>
      <c r="N340" s="25" t="s">
        <v>283</v>
      </c>
      <c r="O340" s="16">
        <v>0.11905955576159293</v>
      </c>
      <c r="P340" s="16">
        <v>5.8939970831981152E-2</v>
      </c>
      <c r="Q340" s="25" t="s">
        <v>375</v>
      </c>
      <c r="R340" s="25" t="s">
        <v>426</v>
      </c>
      <c r="S340" s="16">
        <v>4.177134828817379E-2</v>
      </c>
      <c r="T340" s="16">
        <v>1.9266620944841516E-2</v>
      </c>
      <c r="U340" s="16">
        <v>0.10085397372192927</v>
      </c>
      <c r="V340" s="25" t="s">
        <v>491</v>
      </c>
      <c r="W340" s="16">
        <v>0.10122877134766514</v>
      </c>
      <c r="X340" s="25" t="s">
        <v>386</v>
      </c>
      <c r="Y340" s="16">
        <v>8.3075070436357853E-2</v>
      </c>
      <c r="Z340" s="25" t="s">
        <v>456</v>
      </c>
      <c r="AA340" s="25" t="s">
        <v>552</v>
      </c>
      <c r="AB340" s="26" t="s">
        <v>306</v>
      </c>
      <c r="AC340" s="2"/>
      <c r="AD340" s="37" t="str" cm="1">
        <f t="array" ref="AD340">INDEX(A:A, (ROW()*3)-(ROW($W$316)*2))</f>
        <v>KD25</v>
      </c>
      <c r="AE340" s="37" t="str" cm="1">
        <f t="array" ref="AE340">INDEX(AB:AB, (ROW()*3)-(ROW($W$316)*2))</f>
        <v>0,488**</v>
      </c>
      <c r="AF340" s="39" cm="1">
        <f t="array" ref="AF340">INDEX(AB:AB, (ROW()*3)-(ROW($W$316)*2)+1)</f>
        <v>2.6290198331013921E-14</v>
      </c>
      <c r="AG340" s="37" t="str">
        <f t="shared" si="5"/>
        <v>Valid</v>
      </c>
    </row>
    <row r="341" spans="1:33" ht="23" x14ac:dyDescent="0.35">
      <c r="A341" s="13"/>
      <c r="B341" s="14" t="s">
        <v>22</v>
      </c>
      <c r="C341" s="27">
        <v>6.9982181705095044E-4</v>
      </c>
      <c r="D341" s="16">
        <v>8.3935935246072551E-5</v>
      </c>
      <c r="E341" s="16">
        <v>4.7829601959996942E-2</v>
      </c>
      <c r="F341" s="16">
        <v>0.59794227419452861</v>
      </c>
      <c r="G341" s="16">
        <v>1.248212629609049E-2</v>
      </c>
      <c r="H341" s="16">
        <v>6.911214388720876E-6</v>
      </c>
      <c r="I341" s="16">
        <v>6.3992297416091555E-9</v>
      </c>
      <c r="J341" s="16">
        <v>8.706016626072664E-4</v>
      </c>
      <c r="K341" s="28"/>
      <c r="L341" s="16">
        <v>0.5778101231328221</v>
      </c>
      <c r="M341" s="16">
        <v>3.1744870341421181E-3</v>
      </c>
      <c r="N341" s="16">
        <v>2.4053215582214425E-2</v>
      </c>
      <c r="O341" s="16">
        <v>8.0833044932334147E-2</v>
      </c>
      <c r="P341" s="16">
        <v>0.38870930045904384</v>
      </c>
      <c r="Q341" s="16">
        <v>3.2279023629584705E-3</v>
      </c>
      <c r="R341" s="16">
        <v>2.0996417794936916E-3</v>
      </c>
      <c r="S341" s="16">
        <v>0.54145428875389068</v>
      </c>
      <c r="T341" s="16">
        <v>0.77829361443358824</v>
      </c>
      <c r="U341" s="16">
        <v>0.13956484042776693</v>
      </c>
      <c r="V341" s="16">
        <v>6.9860536269614258E-4</v>
      </c>
      <c r="W341" s="16">
        <v>0.13809242139326192</v>
      </c>
      <c r="X341" s="16">
        <v>3.0394410451634941E-6</v>
      </c>
      <c r="Y341" s="16">
        <v>0.22399723829478493</v>
      </c>
      <c r="Z341" s="16">
        <v>2.5754989015180582E-5</v>
      </c>
      <c r="AA341" s="16">
        <v>4.8497085928116558E-2</v>
      </c>
      <c r="AB341" s="17">
        <v>1.0460719133979247E-9</v>
      </c>
      <c r="AC341" s="2"/>
    </row>
    <row r="342" spans="1:33" x14ac:dyDescent="0.35">
      <c r="A342" s="18"/>
      <c r="B342" s="19" t="s">
        <v>23</v>
      </c>
      <c r="C342" s="20">
        <v>216</v>
      </c>
      <c r="D342" s="21">
        <v>216</v>
      </c>
      <c r="E342" s="21">
        <v>216</v>
      </c>
      <c r="F342" s="21">
        <v>216</v>
      </c>
      <c r="G342" s="21">
        <v>216</v>
      </c>
      <c r="H342" s="21">
        <v>216</v>
      </c>
      <c r="I342" s="21">
        <v>216</v>
      </c>
      <c r="J342" s="21">
        <v>216</v>
      </c>
      <c r="K342" s="21">
        <v>216</v>
      </c>
      <c r="L342" s="21">
        <v>216</v>
      </c>
      <c r="M342" s="21">
        <v>216</v>
      </c>
      <c r="N342" s="21">
        <v>216</v>
      </c>
      <c r="O342" s="21">
        <v>216</v>
      </c>
      <c r="P342" s="21">
        <v>216</v>
      </c>
      <c r="Q342" s="21">
        <v>216</v>
      </c>
      <c r="R342" s="21">
        <v>216</v>
      </c>
      <c r="S342" s="21">
        <v>216</v>
      </c>
      <c r="T342" s="21">
        <v>216</v>
      </c>
      <c r="U342" s="21">
        <v>216</v>
      </c>
      <c r="V342" s="21">
        <v>216</v>
      </c>
      <c r="W342" s="21">
        <v>216</v>
      </c>
      <c r="X342" s="21">
        <v>216</v>
      </c>
      <c r="Y342" s="21">
        <v>216</v>
      </c>
      <c r="Z342" s="21">
        <v>216</v>
      </c>
      <c r="AA342" s="21">
        <v>216</v>
      </c>
      <c r="AB342" s="22">
        <v>216</v>
      </c>
      <c r="AC342" s="2"/>
    </row>
    <row r="343" spans="1:33" ht="34.5" x14ac:dyDescent="0.35">
      <c r="A343" s="18" t="s">
        <v>113</v>
      </c>
      <c r="B343" s="14" t="s">
        <v>21</v>
      </c>
      <c r="C343" s="27">
        <v>0.12935468548232462</v>
      </c>
      <c r="D343" s="25" t="s">
        <v>374</v>
      </c>
      <c r="E343" s="25" t="s">
        <v>449</v>
      </c>
      <c r="F343" s="16">
        <v>-5.8643211676201984E-2</v>
      </c>
      <c r="G343" s="25" t="s">
        <v>172</v>
      </c>
      <c r="H343" s="25" t="s">
        <v>464</v>
      </c>
      <c r="I343" s="25" t="s">
        <v>221</v>
      </c>
      <c r="J343" s="25" t="s">
        <v>420</v>
      </c>
      <c r="K343" s="16">
        <v>3.8078110255742537E-2</v>
      </c>
      <c r="L343" s="24">
        <v>1</v>
      </c>
      <c r="M343" s="16">
        <v>3.4107078723867666E-2</v>
      </c>
      <c r="N343" s="25" t="s">
        <v>466</v>
      </c>
      <c r="O343" s="25" t="s">
        <v>536</v>
      </c>
      <c r="P343" s="25" t="s">
        <v>537</v>
      </c>
      <c r="Q343" s="16">
        <v>0.12248777233180258</v>
      </c>
      <c r="R343" s="25" t="s">
        <v>409</v>
      </c>
      <c r="S343" s="25" t="s">
        <v>196</v>
      </c>
      <c r="T343" s="16">
        <v>-1.365656471084487E-2</v>
      </c>
      <c r="U343" s="25" t="s">
        <v>542</v>
      </c>
      <c r="V343" s="25" t="s">
        <v>221</v>
      </c>
      <c r="W343" s="16">
        <v>-3.2691972615284878E-2</v>
      </c>
      <c r="X343" s="16">
        <v>7.8138305290754509E-2</v>
      </c>
      <c r="Y343" s="25" t="s">
        <v>151</v>
      </c>
      <c r="Z343" s="16">
        <v>0.11327516458125141</v>
      </c>
      <c r="AA343" s="25" t="s">
        <v>421</v>
      </c>
      <c r="AB343" s="26" t="s">
        <v>274</v>
      </c>
      <c r="AC343" s="2"/>
    </row>
    <row r="344" spans="1:33" ht="23" x14ac:dyDescent="0.35">
      <c r="A344" s="13"/>
      <c r="B344" s="14" t="s">
        <v>22</v>
      </c>
      <c r="C344" s="27">
        <v>5.76870301019939E-2</v>
      </c>
      <c r="D344" s="16">
        <v>3.288005433743383E-2</v>
      </c>
      <c r="E344" s="16">
        <v>4.7488586245365095E-4</v>
      </c>
      <c r="F344" s="16">
        <v>0.39110619832665505</v>
      </c>
      <c r="G344" s="16">
        <v>9.6309928106993372E-3</v>
      </c>
      <c r="H344" s="16">
        <v>2.3066068079459295E-3</v>
      </c>
      <c r="I344" s="16">
        <v>5.3762202759696533E-7</v>
      </c>
      <c r="J344" s="16">
        <v>8.3194797331825266E-12</v>
      </c>
      <c r="K344" s="16">
        <v>0.5778101231328221</v>
      </c>
      <c r="L344" s="28"/>
      <c r="M344" s="16">
        <v>0.61812737458417777</v>
      </c>
      <c r="N344" s="16">
        <v>1.7531205169711847E-7</v>
      </c>
      <c r="O344" s="16">
        <v>2.2395621085012124E-50</v>
      </c>
      <c r="P344" s="16">
        <v>1.2031912836581592E-115</v>
      </c>
      <c r="Q344" s="16">
        <v>7.2411796258469066E-2</v>
      </c>
      <c r="R344" s="16">
        <v>2.4976401730143131E-3</v>
      </c>
      <c r="S344" s="16">
        <v>1.1028892771943468E-2</v>
      </c>
      <c r="T344" s="16">
        <v>0.84182911088883083</v>
      </c>
      <c r="U344" s="16">
        <v>1.6550694614289213E-6</v>
      </c>
      <c r="V344" s="16">
        <v>5.5367823146398486E-7</v>
      </c>
      <c r="W344" s="16">
        <v>0.6327842185616801</v>
      </c>
      <c r="X344" s="16">
        <v>0.25283956299456539</v>
      </c>
      <c r="Y344" s="16">
        <v>1.439415294735273E-3</v>
      </c>
      <c r="Z344" s="16">
        <v>9.6816561599359932E-2</v>
      </c>
      <c r="AA344" s="16">
        <v>3.0366640676130544E-7</v>
      </c>
      <c r="AB344" s="17">
        <v>2.2650812897358522E-15</v>
      </c>
      <c r="AC344" s="2"/>
    </row>
    <row r="345" spans="1:33" x14ac:dyDescent="0.35">
      <c r="A345" s="18"/>
      <c r="B345" s="19" t="s">
        <v>23</v>
      </c>
      <c r="C345" s="20">
        <v>216</v>
      </c>
      <c r="D345" s="21">
        <v>216</v>
      </c>
      <c r="E345" s="21">
        <v>216</v>
      </c>
      <c r="F345" s="21">
        <v>216</v>
      </c>
      <c r="G345" s="21">
        <v>216</v>
      </c>
      <c r="H345" s="21">
        <v>216</v>
      </c>
      <c r="I345" s="21">
        <v>216</v>
      </c>
      <c r="J345" s="21">
        <v>216</v>
      </c>
      <c r="K345" s="21">
        <v>216</v>
      </c>
      <c r="L345" s="21">
        <v>216</v>
      </c>
      <c r="M345" s="21">
        <v>216</v>
      </c>
      <c r="N345" s="21">
        <v>216</v>
      </c>
      <c r="O345" s="21">
        <v>216</v>
      </c>
      <c r="P345" s="21">
        <v>216</v>
      </c>
      <c r="Q345" s="21">
        <v>216</v>
      </c>
      <c r="R345" s="21">
        <v>216</v>
      </c>
      <c r="S345" s="21">
        <v>216</v>
      </c>
      <c r="T345" s="21">
        <v>216</v>
      </c>
      <c r="U345" s="21">
        <v>216</v>
      </c>
      <c r="V345" s="21">
        <v>216</v>
      </c>
      <c r="W345" s="21">
        <v>216</v>
      </c>
      <c r="X345" s="21">
        <v>216</v>
      </c>
      <c r="Y345" s="21">
        <v>216</v>
      </c>
      <c r="Z345" s="21">
        <v>216</v>
      </c>
      <c r="AA345" s="21">
        <v>216</v>
      </c>
      <c r="AB345" s="22">
        <v>216</v>
      </c>
      <c r="AC345" s="2"/>
    </row>
    <row r="346" spans="1:33" ht="34.5" x14ac:dyDescent="0.35">
      <c r="A346" s="18" t="s">
        <v>114</v>
      </c>
      <c r="B346" s="14" t="s">
        <v>21</v>
      </c>
      <c r="C346" s="23" t="s">
        <v>458</v>
      </c>
      <c r="D346" s="25" t="s">
        <v>411</v>
      </c>
      <c r="E346" s="25" t="s">
        <v>488</v>
      </c>
      <c r="F346" s="25" t="s">
        <v>301</v>
      </c>
      <c r="G346" s="25" t="s">
        <v>375</v>
      </c>
      <c r="H346" s="16">
        <v>-9.5605423498215492E-2</v>
      </c>
      <c r="I346" s="16">
        <v>-7.9161397686819915E-2</v>
      </c>
      <c r="J346" s="25" t="s">
        <v>533</v>
      </c>
      <c r="K346" s="25" t="s">
        <v>375</v>
      </c>
      <c r="L346" s="16">
        <v>3.4107078723867666E-2</v>
      </c>
      <c r="M346" s="24">
        <v>1</v>
      </c>
      <c r="N346" s="25" t="s">
        <v>427</v>
      </c>
      <c r="O346" s="25" t="s">
        <v>465</v>
      </c>
      <c r="P346" s="16">
        <v>4.4501381821126965E-2</v>
      </c>
      <c r="Q346" s="25" t="s">
        <v>320</v>
      </c>
      <c r="R346" s="25" t="s">
        <v>277</v>
      </c>
      <c r="S346" s="16">
        <v>4.4094031542376746E-2</v>
      </c>
      <c r="T346" s="25" t="s">
        <v>529</v>
      </c>
      <c r="U346" s="16">
        <v>-3.8279108949272639E-2</v>
      </c>
      <c r="V346" s="25" t="s">
        <v>225</v>
      </c>
      <c r="W346" s="25" t="s">
        <v>376</v>
      </c>
      <c r="X346" s="16">
        <v>0.11345130832986763</v>
      </c>
      <c r="Y346" s="25" t="s">
        <v>178</v>
      </c>
      <c r="Z346" s="16">
        <v>4.8393214951275305E-2</v>
      </c>
      <c r="AA346" s="16">
        <v>-2.6226341398019201E-2</v>
      </c>
      <c r="AB346" s="26" t="s">
        <v>405</v>
      </c>
      <c r="AC346" s="2"/>
    </row>
    <row r="347" spans="1:33" ht="23" x14ac:dyDescent="0.35">
      <c r="A347" s="13"/>
      <c r="B347" s="14" t="s">
        <v>22</v>
      </c>
      <c r="C347" s="27">
        <v>2.9097149834714949E-2</v>
      </c>
      <c r="D347" s="16">
        <v>5.2246560699596747E-6</v>
      </c>
      <c r="E347" s="16">
        <v>1.0793183429122215E-3</v>
      </c>
      <c r="F347" s="16">
        <v>3.972938451355274E-3</v>
      </c>
      <c r="G347" s="16">
        <v>3.2197034214596931E-3</v>
      </c>
      <c r="H347" s="16">
        <v>0.1614644517833137</v>
      </c>
      <c r="I347" s="16">
        <v>0.24666072649732582</v>
      </c>
      <c r="J347" s="16">
        <v>4.6363922266892905E-2</v>
      </c>
      <c r="K347" s="16">
        <v>3.1744870341421181E-3</v>
      </c>
      <c r="L347" s="16">
        <v>0.61812737458417777</v>
      </c>
      <c r="M347" s="28"/>
      <c r="N347" s="16">
        <v>3.6723237550401327E-7</v>
      </c>
      <c r="O347" s="16">
        <v>2.6783166209380687E-2</v>
      </c>
      <c r="P347" s="16">
        <v>0.51532963695550094</v>
      </c>
      <c r="Q347" s="16">
        <v>3.6692850615748488E-4</v>
      </c>
      <c r="R347" s="16">
        <v>1.9383076787914559E-2</v>
      </c>
      <c r="S347" s="16">
        <v>0.51918605580814381</v>
      </c>
      <c r="T347" s="16">
        <v>1.2015641977784779E-2</v>
      </c>
      <c r="U347" s="16">
        <v>0.57580249831331654</v>
      </c>
      <c r="V347" s="16">
        <v>1.4599125755521156E-8</v>
      </c>
      <c r="W347" s="16">
        <v>6.9882199626008605E-3</v>
      </c>
      <c r="X347" s="16">
        <v>9.6295290228593552E-2</v>
      </c>
      <c r="Y347" s="16">
        <v>7.9270030233243418E-5</v>
      </c>
      <c r="Z347" s="16">
        <v>0.47924348355740931</v>
      </c>
      <c r="AA347" s="16">
        <v>0.70151490343610345</v>
      </c>
      <c r="AB347" s="17">
        <v>4.9419474387253888E-8</v>
      </c>
      <c r="AC347" s="2"/>
    </row>
    <row r="348" spans="1:33" x14ac:dyDescent="0.35">
      <c r="A348" s="18"/>
      <c r="B348" s="19" t="s">
        <v>23</v>
      </c>
      <c r="C348" s="20">
        <v>216</v>
      </c>
      <c r="D348" s="21">
        <v>216</v>
      </c>
      <c r="E348" s="21">
        <v>216</v>
      </c>
      <c r="F348" s="21">
        <v>216</v>
      </c>
      <c r="G348" s="21">
        <v>216</v>
      </c>
      <c r="H348" s="21">
        <v>216</v>
      </c>
      <c r="I348" s="21">
        <v>216</v>
      </c>
      <c r="J348" s="21">
        <v>216</v>
      </c>
      <c r="K348" s="21">
        <v>216</v>
      </c>
      <c r="L348" s="21">
        <v>216</v>
      </c>
      <c r="M348" s="21">
        <v>216</v>
      </c>
      <c r="N348" s="21">
        <v>216</v>
      </c>
      <c r="O348" s="21">
        <v>216</v>
      </c>
      <c r="P348" s="21">
        <v>216</v>
      </c>
      <c r="Q348" s="21">
        <v>216</v>
      </c>
      <c r="R348" s="21">
        <v>216</v>
      </c>
      <c r="S348" s="21">
        <v>216</v>
      </c>
      <c r="T348" s="21">
        <v>216</v>
      </c>
      <c r="U348" s="21">
        <v>216</v>
      </c>
      <c r="V348" s="21">
        <v>216</v>
      </c>
      <c r="W348" s="21">
        <v>216</v>
      </c>
      <c r="X348" s="21">
        <v>216</v>
      </c>
      <c r="Y348" s="21">
        <v>216</v>
      </c>
      <c r="Z348" s="21">
        <v>216</v>
      </c>
      <c r="AA348" s="21">
        <v>216</v>
      </c>
      <c r="AB348" s="22">
        <v>216</v>
      </c>
      <c r="AC348" s="2"/>
    </row>
    <row r="349" spans="1:33" ht="34.5" x14ac:dyDescent="0.35">
      <c r="A349" s="18" t="s">
        <v>115</v>
      </c>
      <c r="B349" s="14" t="s">
        <v>21</v>
      </c>
      <c r="C349" s="23" t="s">
        <v>468</v>
      </c>
      <c r="D349" s="25" t="s">
        <v>156</v>
      </c>
      <c r="E349" s="25" t="s">
        <v>479</v>
      </c>
      <c r="F349" s="16">
        <v>0.13318684204197875</v>
      </c>
      <c r="G349" s="16">
        <v>0.12151462067904976</v>
      </c>
      <c r="H349" s="25" t="s">
        <v>371</v>
      </c>
      <c r="I349" s="25" t="s">
        <v>488</v>
      </c>
      <c r="J349" s="25" t="s">
        <v>534</v>
      </c>
      <c r="K349" s="25" t="s">
        <v>283</v>
      </c>
      <c r="L349" s="25" t="s">
        <v>466</v>
      </c>
      <c r="M349" s="25" t="s">
        <v>427</v>
      </c>
      <c r="N349" s="24">
        <v>1</v>
      </c>
      <c r="O349" s="25" t="s">
        <v>188</v>
      </c>
      <c r="P349" s="25" t="s">
        <v>313</v>
      </c>
      <c r="Q349" s="25" t="s">
        <v>235</v>
      </c>
      <c r="R349" s="25" t="s">
        <v>200</v>
      </c>
      <c r="S349" s="16">
        <v>0.11644075538526093</v>
      </c>
      <c r="T349" s="16">
        <v>4.9580515571879299E-2</v>
      </c>
      <c r="U349" s="25" t="s">
        <v>184</v>
      </c>
      <c r="V349" s="25" t="s">
        <v>543</v>
      </c>
      <c r="W349" s="16">
        <v>7.723005696504015E-2</v>
      </c>
      <c r="X349" s="25" t="s">
        <v>352</v>
      </c>
      <c r="Y349" s="16">
        <v>0.1284640915446362</v>
      </c>
      <c r="Z349" s="16">
        <v>3.5830815981409546E-2</v>
      </c>
      <c r="AA349" s="25" t="s">
        <v>292</v>
      </c>
      <c r="AB349" s="26" t="s">
        <v>556</v>
      </c>
      <c r="AC349" s="2"/>
    </row>
    <row r="350" spans="1:33" ht="23" x14ac:dyDescent="0.35">
      <c r="A350" s="13"/>
      <c r="B350" s="14" t="s">
        <v>22</v>
      </c>
      <c r="C350" s="27">
        <v>1.8326035297667829E-2</v>
      </c>
      <c r="D350" s="16">
        <v>8.4471422014490826E-4</v>
      </c>
      <c r="E350" s="16">
        <v>7.3609227815674408E-3</v>
      </c>
      <c r="F350" s="16">
        <v>5.060687678105473E-2</v>
      </c>
      <c r="G350" s="16">
        <v>7.4726396591511049E-2</v>
      </c>
      <c r="H350" s="16">
        <v>9.1108389419238347E-4</v>
      </c>
      <c r="I350" s="16">
        <v>1.0495470837720447E-3</v>
      </c>
      <c r="J350" s="16">
        <v>1.4497883140966834E-3</v>
      </c>
      <c r="K350" s="16">
        <v>2.4053215582214425E-2</v>
      </c>
      <c r="L350" s="16">
        <v>1.7531205169711847E-7</v>
      </c>
      <c r="M350" s="16">
        <v>3.6723237550401327E-7</v>
      </c>
      <c r="N350" s="28"/>
      <c r="O350" s="16">
        <v>1.7476740247234475E-11</v>
      </c>
      <c r="P350" s="16">
        <v>5.0713128427580266E-8</v>
      </c>
      <c r="Q350" s="16">
        <v>2.3646690517135826E-8</v>
      </c>
      <c r="R350" s="16">
        <v>2.1953074272812817E-2</v>
      </c>
      <c r="S350" s="16">
        <v>8.7784008306152156E-2</v>
      </c>
      <c r="T350" s="16">
        <v>0.46851363619025643</v>
      </c>
      <c r="U350" s="16">
        <v>6.0265107583968233E-3</v>
      </c>
      <c r="V350" s="16">
        <v>2.8949868248267521E-55</v>
      </c>
      <c r="W350" s="16">
        <v>0.25841384092278358</v>
      </c>
      <c r="X350" s="16">
        <v>2.3054845345305281E-5</v>
      </c>
      <c r="Y350" s="16">
        <v>5.9444563178466525E-2</v>
      </c>
      <c r="Z350" s="16">
        <v>0.60047615881180216</v>
      </c>
      <c r="AA350" s="16">
        <v>5.1121678265636768E-3</v>
      </c>
      <c r="AB350" s="17">
        <v>2.7094176940058449E-17</v>
      </c>
      <c r="AC350" s="2"/>
    </row>
    <row r="351" spans="1:33" x14ac:dyDescent="0.35">
      <c r="A351" s="18"/>
      <c r="B351" s="19" t="s">
        <v>23</v>
      </c>
      <c r="C351" s="20">
        <v>216</v>
      </c>
      <c r="D351" s="21">
        <v>216</v>
      </c>
      <c r="E351" s="21">
        <v>216</v>
      </c>
      <c r="F351" s="21">
        <v>216</v>
      </c>
      <c r="G351" s="21">
        <v>216</v>
      </c>
      <c r="H351" s="21">
        <v>216</v>
      </c>
      <c r="I351" s="21">
        <v>216</v>
      </c>
      <c r="J351" s="21">
        <v>216</v>
      </c>
      <c r="K351" s="21">
        <v>216</v>
      </c>
      <c r="L351" s="21">
        <v>216</v>
      </c>
      <c r="M351" s="21">
        <v>216</v>
      </c>
      <c r="N351" s="21">
        <v>216</v>
      </c>
      <c r="O351" s="21">
        <v>216</v>
      </c>
      <c r="P351" s="21">
        <v>216</v>
      </c>
      <c r="Q351" s="21">
        <v>216</v>
      </c>
      <c r="R351" s="21">
        <v>216</v>
      </c>
      <c r="S351" s="21">
        <v>216</v>
      </c>
      <c r="T351" s="21">
        <v>216</v>
      </c>
      <c r="U351" s="21">
        <v>216</v>
      </c>
      <c r="V351" s="21">
        <v>216</v>
      </c>
      <c r="W351" s="21">
        <v>216</v>
      </c>
      <c r="X351" s="21">
        <v>216</v>
      </c>
      <c r="Y351" s="21">
        <v>216</v>
      </c>
      <c r="Z351" s="21">
        <v>216</v>
      </c>
      <c r="AA351" s="21">
        <v>216</v>
      </c>
      <c r="AB351" s="22">
        <v>216</v>
      </c>
      <c r="AC351" s="2"/>
    </row>
    <row r="352" spans="1:33" ht="34.5" x14ac:dyDescent="0.35">
      <c r="A352" s="18" t="s">
        <v>116</v>
      </c>
      <c r="B352" s="14" t="s">
        <v>21</v>
      </c>
      <c r="C352" s="23" t="s">
        <v>525</v>
      </c>
      <c r="D352" s="25" t="s">
        <v>505</v>
      </c>
      <c r="E352" s="25" t="s">
        <v>209</v>
      </c>
      <c r="F352" s="16">
        <v>-8.2373209978210502E-2</v>
      </c>
      <c r="G352" s="25" t="s">
        <v>457</v>
      </c>
      <c r="H352" s="25" t="s">
        <v>210</v>
      </c>
      <c r="I352" s="25" t="s">
        <v>531</v>
      </c>
      <c r="J352" s="25" t="s">
        <v>259</v>
      </c>
      <c r="K352" s="16">
        <v>0.11905955576159293</v>
      </c>
      <c r="L352" s="25" t="s">
        <v>536</v>
      </c>
      <c r="M352" s="25" t="s">
        <v>465</v>
      </c>
      <c r="N352" s="25" t="s">
        <v>188</v>
      </c>
      <c r="O352" s="24">
        <v>1</v>
      </c>
      <c r="P352" s="25" t="s">
        <v>538</v>
      </c>
      <c r="Q352" s="25" t="s">
        <v>179</v>
      </c>
      <c r="R352" s="25" t="s">
        <v>320</v>
      </c>
      <c r="S352" s="25" t="s">
        <v>539</v>
      </c>
      <c r="T352" s="16">
        <v>3.5867364198827641E-2</v>
      </c>
      <c r="U352" s="25" t="s">
        <v>241</v>
      </c>
      <c r="V352" s="25" t="s">
        <v>168</v>
      </c>
      <c r="W352" s="16">
        <v>-6.0560023285731748E-2</v>
      </c>
      <c r="X352" s="25" t="s">
        <v>283</v>
      </c>
      <c r="Y352" s="25" t="s">
        <v>488</v>
      </c>
      <c r="Z352" s="25" t="s">
        <v>540</v>
      </c>
      <c r="AA352" s="25" t="s">
        <v>524</v>
      </c>
      <c r="AB352" s="26" t="s">
        <v>290</v>
      </c>
      <c r="AC352" s="2"/>
    </row>
    <row r="353" spans="1:29" ht="23" x14ac:dyDescent="0.35">
      <c r="A353" s="13"/>
      <c r="B353" s="14" t="s">
        <v>22</v>
      </c>
      <c r="C353" s="27">
        <v>2.4414719895088515E-2</v>
      </c>
      <c r="D353" s="16">
        <v>6.4452870169587616E-5</v>
      </c>
      <c r="E353" s="16">
        <v>4.613761889208047E-5</v>
      </c>
      <c r="F353" s="16">
        <v>0.22794886881465942</v>
      </c>
      <c r="G353" s="16">
        <v>5.3873579548242507E-3</v>
      </c>
      <c r="H353" s="16">
        <v>1.9703048369712618E-3</v>
      </c>
      <c r="I353" s="16">
        <v>2.5651420127641179E-8</v>
      </c>
      <c r="J353" s="16">
        <v>4.36610382500824E-9</v>
      </c>
      <c r="K353" s="16">
        <v>8.0833044932334147E-2</v>
      </c>
      <c r="L353" s="16">
        <v>2.2395621085012124E-50</v>
      </c>
      <c r="M353" s="16">
        <v>2.6783166209380687E-2</v>
      </c>
      <c r="N353" s="16">
        <v>1.7476740247234475E-11</v>
      </c>
      <c r="O353" s="28"/>
      <c r="P353" s="16">
        <v>2.3380335217225241E-61</v>
      </c>
      <c r="Q353" s="16">
        <v>2.7449170698757006E-3</v>
      </c>
      <c r="R353" s="16">
        <v>3.7516791378235825E-4</v>
      </c>
      <c r="S353" s="16">
        <v>1.2962749258398194E-2</v>
      </c>
      <c r="T353" s="16">
        <v>0.60010436234988596</v>
      </c>
      <c r="U353" s="16">
        <v>3.2004603478513418E-5</v>
      </c>
      <c r="V353" s="16">
        <v>1.4726297490855485E-11</v>
      </c>
      <c r="W353" s="16">
        <v>0.37578153320521357</v>
      </c>
      <c r="X353" s="16">
        <v>2.3142716830694184E-2</v>
      </c>
      <c r="Y353" s="16">
        <v>1.056380189769353E-3</v>
      </c>
      <c r="Z353" s="16">
        <v>3.4685982591525694E-2</v>
      </c>
      <c r="AA353" s="16">
        <v>4.216389570914023E-5</v>
      </c>
      <c r="AB353" s="17">
        <v>6.7814126413644507E-19</v>
      </c>
      <c r="AC353" s="2"/>
    </row>
    <row r="354" spans="1:29" x14ac:dyDescent="0.35">
      <c r="A354" s="18"/>
      <c r="B354" s="19" t="s">
        <v>23</v>
      </c>
      <c r="C354" s="20">
        <v>216</v>
      </c>
      <c r="D354" s="21">
        <v>216</v>
      </c>
      <c r="E354" s="21">
        <v>216</v>
      </c>
      <c r="F354" s="21">
        <v>216</v>
      </c>
      <c r="G354" s="21">
        <v>216</v>
      </c>
      <c r="H354" s="21">
        <v>216</v>
      </c>
      <c r="I354" s="21">
        <v>216</v>
      </c>
      <c r="J354" s="21">
        <v>216</v>
      </c>
      <c r="K354" s="21">
        <v>216</v>
      </c>
      <c r="L354" s="21">
        <v>216</v>
      </c>
      <c r="M354" s="21">
        <v>216</v>
      </c>
      <c r="N354" s="21">
        <v>216</v>
      </c>
      <c r="O354" s="21">
        <v>216</v>
      </c>
      <c r="P354" s="21">
        <v>216</v>
      </c>
      <c r="Q354" s="21">
        <v>216</v>
      </c>
      <c r="R354" s="21">
        <v>216</v>
      </c>
      <c r="S354" s="21">
        <v>216</v>
      </c>
      <c r="T354" s="21">
        <v>216</v>
      </c>
      <c r="U354" s="21">
        <v>216</v>
      </c>
      <c r="V354" s="21">
        <v>216</v>
      </c>
      <c r="W354" s="21">
        <v>216</v>
      </c>
      <c r="X354" s="21">
        <v>216</v>
      </c>
      <c r="Y354" s="21">
        <v>216</v>
      </c>
      <c r="Z354" s="21">
        <v>216</v>
      </c>
      <c r="AA354" s="21">
        <v>216</v>
      </c>
      <c r="AB354" s="22">
        <v>216</v>
      </c>
      <c r="AC354" s="2"/>
    </row>
    <row r="355" spans="1:29" ht="34.5" x14ac:dyDescent="0.35">
      <c r="A355" s="18" t="s">
        <v>117</v>
      </c>
      <c r="B355" s="14" t="s">
        <v>21</v>
      </c>
      <c r="C355" s="23" t="s">
        <v>332</v>
      </c>
      <c r="D355" s="25" t="s">
        <v>425</v>
      </c>
      <c r="E355" s="25" t="s">
        <v>140</v>
      </c>
      <c r="F355" s="16">
        <v>-4.4111150155084801E-2</v>
      </c>
      <c r="G355" s="25" t="s">
        <v>320</v>
      </c>
      <c r="H355" s="25" t="s">
        <v>199</v>
      </c>
      <c r="I355" s="25" t="s">
        <v>511</v>
      </c>
      <c r="J355" s="25" t="s">
        <v>535</v>
      </c>
      <c r="K355" s="16">
        <v>5.8939970831981152E-2</v>
      </c>
      <c r="L355" s="25" t="s">
        <v>537</v>
      </c>
      <c r="M355" s="16">
        <v>4.4501381821126965E-2</v>
      </c>
      <c r="N355" s="25" t="s">
        <v>313</v>
      </c>
      <c r="O355" s="25" t="s">
        <v>538</v>
      </c>
      <c r="P355" s="24">
        <v>1</v>
      </c>
      <c r="Q355" s="25" t="s">
        <v>528</v>
      </c>
      <c r="R355" s="25" t="s">
        <v>312</v>
      </c>
      <c r="S355" s="25" t="s">
        <v>179</v>
      </c>
      <c r="T355" s="16">
        <v>4.6596931972596276E-2</v>
      </c>
      <c r="U355" s="25" t="s">
        <v>165</v>
      </c>
      <c r="V355" s="25" t="s">
        <v>544</v>
      </c>
      <c r="W355" s="16">
        <v>-1.9504954194921525E-2</v>
      </c>
      <c r="X355" s="16">
        <v>8.6030081649382278E-2</v>
      </c>
      <c r="Y355" s="25" t="s">
        <v>160</v>
      </c>
      <c r="Z355" s="25" t="s">
        <v>200</v>
      </c>
      <c r="AA355" s="25" t="s">
        <v>254</v>
      </c>
      <c r="AB355" s="26" t="s">
        <v>490</v>
      </c>
      <c r="AC355" s="2"/>
    </row>
    <row r="356" spans="1:29" ht="23" x14ac:dyDescent="0.35">
      <c r="A356" s="13"/>
      <c r="B356" s="14" t="s">
        <v>22</v>
      </c>
      <c r="C356" s="27">
        <v>1.5135796448733533E-2</v>
      </c>
      <c r="D356" s="16">
        <v>2.5957846090606244E-2</v>
      </c>
      <c r="E356" s="16">
        <v>8.8914631976397547E-5</v>
      </c>
      <c r="F356" s="16">
        <v>0.51902369518733904</v>
      </c>
      <c r="G356" s="16">
        <v>3.6432673699436511E-4</v>
      </c>
      <c r="H356" s="16">
        <v>3.3497101570078174E-3</v>
      </c>
      <c r="I356" s="16">
        <v>4.3684202326865945E-8</v>
      </c>
      <c r="J356" s="16">
        <v>1.0115646492999597E-10</v>
      </c>
      <c r="K356" s="16">
        <v>0.38870930045904384</v>
      </c>
      <c r="L356" s="16">
        <v>1.2031912836581592E-115</v>
      </c>
      <c r="M356" s="16">
        <v>0.51532963695550094</v>
      </c>
      <c r="N356" s="16">
        <v>5.0713128427580266E-8</v>
      </c>
      <c r="O356" s="16">
        <v>2.3380335217225241E-61</v>
      </c>
      <c r="P356" s="28"/>
      <c r="Q356" s="16">
        <v>4.707744371634285E-2</v>
      </c>
      <c r="R356" s="16">
        <v>1.0941948600399492E-4</v>
      </c>
      <c r="S356" s="16">
        <v>2.6637294013570727E-3</v>
      </c>
      <c r="T356" s="16">
        <v>0.49572681999005663</v>
      </c>
      <c r="U356" s="16">
        <v>1.5519962009376796E-7</v>
      </c>
      <c r="V356" s="16">
        <v>3.8100161727172298E-8</v>
      </c>
      <c r="W356" s="16">
        <v>0.7756235586030229</v>
      </c>
      <c r="X356" s="16">
        <v>0.20789368096534844</v>
      </c>
      <c r="Y356" s="16">
        <v>1.9062802082564235E-4</v>
      </c>
      <c r="Z356" s="16">
        <v>2.2192665528607186E-2</v>
      </c>
      <c r="AA356" s="16">
        <v>2.265273928132336E-7</v>
      </c>
      <c r="AB356" s="17">
        <v>1.2011976452410652E-18</v>
      </c>
      <c r="AC356" s="2"/>
    </row>
    <row r="357" spans="1:29" x14ac:dyDescent="0.35">
      <c r="A357" s="18"/>
      <c r="B357" s="19" t="s">
        <v>23</v>
      </c>
      <c r="C357" s="20">
        <v>216</v>
      </c>
      <c r="D357" s="21">
        <v>216</v>
      </c>
      <c r="E357" s="21">
        <v>216</v>
      </c>
      <c r="F357" s="21">
        <v>216</v>
      </c>
      <c r="G357" s="21">
        <v>216</v>
      </c>
      <c r="H357" s="21">
        <v>216</v>
      </c>
      <c r="I357" s="21">
        <v>216</v>
      </c>
      <c r="J357" s="21">
        <v>216</v>
      </c>
      <c r="K357" s="21">
        <v>216</v>
      </c>
      <c r="L357" s="21">
        <v>216</v>
      </c>
      <c r="M357" s="21">
        <v>216</v>
      </c>
      <c r="N357" s="21">
        <v>216</v>
      </c>
      <c r="O357" s="21">
        <v>216</v>
      </c>
      <c r="P357" s="21">
        <v>216</v>
      </c>
      <c r="Q357" s="21">
        <v>216</v>
      </c>
      <c r="R357" s="21">
        <v>216</v>
      </c>
      <c r="S357" s="21">
        <v>216</v>
      </c>
      <c r="T357" s="21">
        <v>216</v>
      </c>
      <c r="U357" s="21">
        <v>216</v>
      </c>
      <c r="V357" s="21">
        <v>216</v>
      </c>
      <c r="W357" s="21">
        <v>216</v>
      </c>
      <c r="X357" s="21">
        <v>216</v>
      </c>
      <c r="Y357" s="21">
        <v>216</v>
      </c>
      <c r="Z357" s="21">
        <v>216</v>
      </c>
      <c r="AA357" s="21">
        <v>216</v>
      </c>
      <c r="AB357" s="22">
        <v>216</v>
      </c>
      <c r="AC357" s="2"/>
    </row>
    <row r="358" spans="1:29" ht="34.5" x14ac:dyDescent="0.35">
      <c r="A358" s="18" t="s">
        <v>118</v>
      </c>
      <c r="B358" s="14" t="s">
        <v>21</v>
      </c>
      <c r="C358" s="23" t="s">
        <v>301</v>
      </c>
      <c r="D358" s="25" t="s">
        <v>424</v>
      </c>
      <c r="E358" s="16">
        <v>0.11586290891069212</v>
      </c>
      <c r="F358" s="16">
        <v>2.2187265441394131E-2</v>
      </c>
      <c r="G358" s="25" t="s">
        <v>411</v>
      </c>
      <c r="H358" s="25" t="s">
        <v>282</v>
      </c>
      <c r="I358" s="25" t="s">
        <v>532</v>
      </c>
      <c r="J358" s="25" t="s">
        <v>184</v>
      </c>
      <c r="K358" s="25" t="s">
        <v>375</v>
      </c>
      <c r="L358" s="16">
        <v>0.12248777233180258</v>
      </c>
      <c r="M358" s="25" t="s">
        <v>320</v>
      </c>
      <c r="N358" s="25" t="s">
        <v>235</v>
      </c>
      <c r="O358" s="25" t="s">
        <v>179</v>
      </c>
      <c r="P358" s="25" t="s">
        <v>528</v>
      </c>
      <c r="Q358" s="24">
        <v>1</v>
      </c>
      <c r="R358" s="25" t="s">
        <v>331</v>
      </c>
      <c r="S358" s="16">
        <v>3.8536041178883346E-2</v>
      </c>
      <c r="T358" s="25" t="s">
        <v>190</v>
      </c>
      <c r="U358" s="25" t="s">
        <v>422</v>
      </c>
      <c r="V358" s="25" t="s">
        <v>545</v>
      </c>
      <c r="W358" s="16">
        <v>-2.6592894982963525E-2</v>
      </c>
      <c r="X358" s="25" t="s">
        <v>548</v>
      </c>
      <c r="Y358" s="16">
        <v>0.11280559965346225</v>
      </c>
      <c r="Z358" s="16">
        <v>9.7914588203518324E-2</v>
      </c>
      <c r="AA358" s="25" t="s">
        <v>246</v>
      </c>
      <c r="AB358" s="26" t="s">
        <v>284</v>
      </c>
      <c r="AC358" s="2"/>
    </row>
    <row r="359" spans="1:29" ht="23" x14ac:dyDescent="0.35">
      <c r="A359" s="13"/>
      <c r="B359" s="14" t="s">
        <v>22</v>
      </c>
      <c r="C359" s="27">
        <v>3.9848822941922031E-3</v>
      </c>
      <c r="D359" s="16">
        <v>2.2392518566820253E-4</v>
      </c>
      <c r="E359" s="16">
        <v>8.938045491386902E-2</v>
      </c>
      <c r="F359" s="16">
        <v>0.74576187765640078</v>
      </c>
      <c r="G359" s="16">
        <v>5.1809579046950827E-6</v>
      </c>
      <c r="H359" s="16">
        <v>2.9160079608557292E-3</v>
      </c>
      <c r="I359" s="16">
        <v>7.1195346261043036E-7</v>
      </c>
      <c r="J359" s="16">
        <v>6.085938506302427E-3</v>
      </c>
      <c r="K359" s="16">
        <v>3.2279023629584705E-3</v>
      </c>
      <c r="L359" s="16">
        <v>7.2411796258469066E-2</v>
      </c>
      <c r="M359" s="16">
        <v>3.6692850615748488E-4</v>
      </c>
      <c r="N359" s="16">
        <v>2.3646690517135826E-8</v>
      </c>
      <c r="O359" s="16">
        <v>2.7449170698757006E-3</v>
      </c>
      <c r="P359" s="16">
        <v>4.707744371634285E-2</v>
      </c>
      <c r="Q359" s="28"/>
      <c r="R359" s="16">
        <v>2.554164712064886E-3</v>
      </c>
      <c r="S359" s="16">
        <v>0.57324096859019746</v>
      </c>
      <c r="T359" s="16">
        <v>4.146425538683278E-2</v>
      </c>
      <c r="U359" s="16">
        <v>3.9542476418420185E-5</v>
      </c>
      <c r="V359" s="16">
        <v>6.9377059587201146E-8</v>
      </c>
      <c r="W359" s="16">
        <v>0.69754612057045162</v>
      </c>
      <c r="X359" s="16">
        <v>2.5422473850635808E-25</v>
      </c>
      <c r="Y359" s="16">
        <v>9.821712313866722E-2</v>
      </c>
      <c r="Z359" s="16">
        <v>0.15153146463835546</v>
      </c>
      <c r="AA359" s="16">
        <v>2.4534437395696805E-6</v>
      </c>
      <c r="AB359" s="17">
        <v>9.8134851228473352E-15</v>
      </c>
      <c r="AC359" s="2"/>
    </row>
    <row r="360" spans="1:29" x14ac:dyDescent="0.35">
      <c r="A360" s="18"/>
      <c r="B360" s="19" t="s">
        <v>23</v>
      </c>
      <c r="C360" s="20">
        <v>216</v>
      </c>
      <c r="D360" s="21">
        <v>216</v>
      </c>
      <c r="E360" s="21">
        <v>216</v>
      </c>
      <c r="F360" s="21">
        <v>216</v>
      </c>
      <c r="G360" s="21">
        <v>216</v>
      </c>
      <c r="H360" s="21">
        <v>216</v>
      </c>
      <c r="I360" s="21">
        <v>216</v>
      </c>
      <c r="J360" s="21">
        <v>216</v>
      </c>
      <c r="K360" s="21">
        <v>216</v>
      </c>
      <c r="L360" s="21">
        <v>216</v>
      </c>
      <c r="M360" s="21">
        <v>216</v>
      </c>
      <c r="N360" s="21">
        <v>216</v>
      </c>
      <c r="O360" s="21">
        <v>216</v>
      </c>
      <c r="P360" s="21">
        <v>216</v>
      </c>
      <c r="Q360" s="21">
        <v>216</v>
      </c>
      <c r="R360" s="21">
        <v>216</v>
      </c>
      <c r="S360" s="21">
        <v>216</v>
      </c>
      <c r="T360" s="21">
        <v>216</v>
      </c>
      <c r="U360" s="21">
        <v>216</v>
      </c>
      <c r="V360" s="21">
        <v>216</v>
      </c>
      <c r="W360" s="21">
        <v>216</v>
      </c>
      <c r="X360" s="21">
        <v>216</v>
      </c>
      <c r="Y360" s="21">
        <v>216</v>
      </c>
      <c r="Z360" s="21">
        <v>216</v>
      </c>
      <c r="AA360" s="21">
        <v>216</v>
      </c>
      <c r="AB360" s="22">
        <v>216</v>
      </c>
      <c r="AC360" s="2"/>
    </row>
    <row r="361" spans="1:29" ht="34.5" x14ac:dyDescent="0.35">
      <c r="A361" s="18" t="s">
        <v>119</v>
      </c>
      <c r="B361" s="14" t="s">
        <v>21</v>
      </c>
      <c r="C361" s="27">
        <v>4.4919883141877795E-2</v>
      </c>
      <c r="D361" s="16">
        <v>5.3855848828111466E-2</v>
      </c>
      <c r="E361" s="25" t="s">
        <v>500</v>
      </c>
      <c r="F361" s="25" t="s">
        <v>529</v>
      </c>
      <c r="G361" s="25" t="s">
        <v>443</v>
      </c>
      <c r="H361" s="25" t="s">
        <v>460</v>
      </c>
      <c r="I361" s="25" t="s">
        <v>324</v>
      </c>
      <c r="J361" s="25" t="s">
        <v>209</v>
      </c>
      <c r="K361" s="25" t="s">
        <v>426</v>
      </c>
      <c r="L361" s="25" t="s">
        <v>409</v>
      </c>
      <c r="M361" s="25" t="s">
        <v>277</v>
      </c>
      <c r="N361" s="25" t="s">
        <v>200</v>
      </c>
      <c r="O361" s="25" t="s">
        <v>320</v>
      </c>
      <c r="P361" s="25" t="s">
        <v>312</v>
      </c>
      <c r="Q361" s="25" t="s">
        <v>331</v>
      </c>
      <c r="R361" s="24">
        <v>1</v>
      </c>
      <c r="S361" s="25" t="s">
        <v>468</v>
      </c>
      <c r="T361" s="25" t="s">
        <v>530</v>
      </c>
      <c r="U361" s="25" t="s">
        <v>190</v>
      </c>
      <c r="V361" s="25" t="s">
        <v>506</v>
      </c>
      <c r="W361" s="25" t="s">
        <v>527</v>
      </c>
      <c r="X361" s="25" t="s">
        <v>504</v>
      </c>
      <c r="Y361" s="16">
        <v>9.401493554792309E-2</v>
      </c>
      <c r="Z361" s="25" t="s">
        <v>454</v>
      </c>
      <c r="AA361" s="16">
        <v>0.1195674997711178</v>
      </c>
      <c r="AB361" s="26" t="s">
        <v>557</v>
      </c>
      <c r="AC361" s="2"/>
    </row>
    <row r="362" spans="1:29" ht="23" x14ac:dyDescent="0.35">
      <c r="A362" s="13"/>
      <c r="B362" s="14" t="s">
        <v>22</v>
      </c>
      <c r="C362" s="27">
        <v>0.51138308642260255</v>
      </c>
      <c r="D362" s="16">
        <v>0.43099213053222307</v>
      </c>
      <c r="E362" s="16">
        <v>6.1574454081960621E-4</v>
      </c>
      <c r="F362" s="16">
        <v>1.1867942970263662E-2</v>
      </c>
      <c r="G362" s="16">
        <v>1.2270819109117052E-33</v>
      </c>
      <c r="H362" s="16">
        <v>1.260210378220207E-2</v>
      </c>
      <c r="I362" s="16">
        <v>8.1718293881429653E-9</v>
      </c>
      <c r="J362" s="16">
        <v>4.5236497908118556E-5</v>
      </c>
      <c r="K362" s="16">
        <v>2.0996417794936916E-3</v>
      </c>
      <c r="L362" s="16">
        <v>2.4976401730143131E-3</v>
      </c>
      <c r="M362" s="16">
        <v>1.9383076787914559E-2</v>
      </c>
      <c r="N362" s="16">
        <v>2.1953074272812817E-2</v>
      </c>
      <c r="O362" s="16">
        <v>3.7516791378235825E-4</v>
      </c>
      <c r="P362" s="16">
        <v>1.0941948600399492E-4</v>
      </c>
      <c r="Q362" s="16">
        <v>2.554164712064886E-3</v>
      </c>
      <c r="R362" s="28"/>
      <c r="S362" s="16">
        <v>1.8882723319237921E-2</v>
      </c>
      <c r="T362" s="16">
        <v>2.1274557555720417E-6</v>
      </c>
      <c r="U362" s="16">
        <v>4.1332187509827527E-2</v>
      </c>
      <c r="V362" s="16">
        <v>5.710188869112382E-4</v>
      </c>
      <c r="W362" s="16">
        <v>7.9906119766060425E-3</v>
      </c>
      <c r="X362" s="16">
        <v>9.2815571075258471E-6</v>
      </c>
      <c r="Y362" s="16">
        <v>0.16858475659340497</v>
      </c>
      <c r="Z362" s="16">
        <v>2.6480734850957546E-7</v>
      </c>
      <c r="AA362" s="16">
        <v>7.9537645363225856E-2</v>
      </c>
      <c r="AB362" s="17">
        <v>4.8759113494875532E-17</v>
      </c>
      <c r="AC362" s="2"/>
    </row>
    <row r="363" spans="1:29" x14ac:dyDescent="0.35">
      <c r="A363" s="18"/>
      <c r="B363" s="19" t="s">
        <v>23</v>
      </c>
      <c r="C363" s="20">
        <v>216</v>
      </c>
      <c r="D363" s="21">
        <v>216</v>
      </c>
      <c r="E363" s="21">
        <v>216</v>
      </c>
      <c r="F363" s="21">
        <v>216</v>
      </c>
      <c r="G363" s="21">
        <v>216</v>
      </c>
      <c r="H363" s="21">
        <v>216</v>
      </c>
      <c r="I363" s="21">
        <v>216</v>
      </c>
      <c r="J363" s="21">
        <v>216</v>
      </c>
      <c r="K363" s="21">
        <v>216</v>
      </c>
      <c r="L363" s="21">
        <v>216</v>
      </c>
      <c r="M363" s="21">
        <v>216</v>
      </c>
      <c r="N363" s="21">
        <v>216</v>
      </c>
      <c r="O363" s="21">
        <v>216</v>
      </c>
      <c r="P363" s="21">
        <v>216</v>
      </c>
      <c r="Q363" s="21">
        <v>216</v>
      </c>
      <c r="R363" s="21">
        <v>216</v>
      </c>
      <c r="S363" s="21">
        <v>216</v>
      </c>
      <c r="T363" s="21">
        <v>216</v>
      </c>
      <c r="U363" s="21">
        <v>216</v>
      </c>
      <c r="V363" s="21">
        <v>216</v>
      </c>
      <c r="W363" s="21">
        <v>216</v>
      </c>
      <c r="X363" s="21">
        <v>216</v>
      </c>
      <c r="Y363" s="21">
        <v>216</v>
      </c>
      <c r="Z363" s="21">
        <v>216</v>
      </c>
      <c r="AA363" s="21">
        <v>216</v>
      </c>
      <c r="AB363" s="22">
        <v>216</v>
      </c>
      <c r="AC363" s="2"/>
    </row>
    <row r="364" spans="1:29" ht="34.5" x14ac:dyDescent="0.35">
      <c r="A364" s="18" t="s">
        <v>120</v>
      </c>
      <c r="B364" s="14" t="s">
        <v>21</v>
      </c>
      <c r="C364" s="23" t="s">
        <v>397</v>
      </c>
      <c r="D364" s="25" t="s">
        <v>492</v>
      </c>
      <c r="E364" s="25" t="s">
        <v>375</v>
      </c>
      <c r="F364" s="25" t="s">
        <v>530</v>
      </c>
      <c r="G364" s="25" t="s">
        <v>190</v>
      </c>
      <c r="H364" s="16">
        <v>0.12889252522821193</v>
      </c>
      <c r="I364" s="25" t="s">
        <v>350</v>
      </c>
      <c r="J364" s="25" t="s">
        <v>179</v>
      </c>
      <c r="K364" s="16">
        <v>4.177134828817379E-2</v>
      </c>
      <c r="L364" s="25" t="s">
        <v>196</v>
      </c>
      <c r="M364" s="16">
        <v>4.4094031542376746E-2</v>
      </c>
      <c r="N364" s="16">
        <v>0.11644075538526093</v>
      </c>
      <c r="O364" s="25" t="s">
        <v>539</v>
      </c>
      <c r="P364" s="25" t="s">
        <v>179</v>
      </c>
      <c r="Q364" s="16">
        <v>3.8536041178883346E-2</v>
      </c>
      <c r="R364" s="25" t="s">
        <v>468</v>
      </c>
      <c r="S364" s="24">
        <v>1</v>
      </c>
      <c r="T364" s="25" t="s">
        <v>247</v>
      </c>
      <c r="U364" s="16">
        <v>6.7919008596794561E-2</v>
      </c>
      <c r="V364" s="25" t="s">
        <v>467</v>
      </c>
      <c r="W364" s="25" t="s">
        <v>231</v>
      </c>
      <c r="X364" s="16">
        <v>5.7265753212873305E-2</v>
      </c>
      <c r="Y364" s="25" t="s">
        <v>507</v>
      </c>
      <c r="Z364" s="25" t="s">
        <v>550</v>
      </c>
      <c r="AA364" s="16">
        <v>7.2367867023220345E-2</v>
      </c>
      <c r="AB364" s="26" t="s">
        <v>496</v>
      </c>
      <c r="AC364" s="2"/>
    </row>
    <row r="365" spans="1:29" ht="23" x14ac:dyDescent="0.35">
      <c r="A365" s="13"/>
      <c r="B365" s="14" t="s">
        <v>22</v>
      </c>
      <c r="C365" s="27">
        <v>1.401969522907908E-4</v>
      </c>
      <c r="D365" s="16">
        <v>1.0448529097049658E-3</v>
      </c>
      <c r="E365" s="16">
        <v>3.0951815164726496E-3</v>
      </c>
      <c r="F365" s="16">
        <v>2.1562956361343333E-6</v>
      </c>
      <c r="G365" s="16">
        <v>4.1655213354469478E-2</v>
      </c>
      <c r="H365" s="16">
        <v>5.8593645193737547E-2</v>
      </c>
      <c r="I365" s="16">
        <v>1.1650342652106552E-3</v>
      </c>
      <c r="J365" s="16">
        <v>2.6994824657228149E-3</v>
      </c>
      <c r="K365" s="16">
        <v>0.54145428875389068</v>
      </c>
      <c r="L365" s="16">
        <v>1.1028892771943468E-2</v>
      </c>
      <c r="M365" s="16">
        <v>0.51918605580814381</v>
      </c>
      <c r="N365" s="16">
        <v>8.7784008306152156E-2</v>
      </c>
      <c r="O365" s="16">
        <v>1.2962749258398194E-2</v>
      </c>
      <c r="P365" s="16">
        <v>2.6637294013570727E-3</v>
      </c>
      <c r="Q365" s="16">
        <v>0.57324096859019746</v>
      </c>
      <c r="R365" s="16">
        <v>1.8882723319237921E-2</v>
      </c>
      <c r="S365" s="28"/>
      <c r="T365" s="16">
        <v>1.6302476055209947E-2</v>
      </c>
      <c r="U365" s="16">
        <v>0.32043848018187426</v>
      </c>
      <c r="V365" s="16">
        <v>1.1620218561636386E-6</v>
      </c>
      <c r="W365" s="16">
        <v>7.3668703599660414E-6</v>
      </c>
      <c r="X365" s="16">
        <v>0.40234800823794747</v>
      </c>
      <c r="Y365" s="16">
        <v>5.8886460038645998E-4</v>
      </c>
      <c r="Z365" s="16">
        <v>1.1704554365445364E-28</v>
      </c>
      <c r="AA365" s="16">
        <v>0.28968925903208936</v>
      </c>
      <c r="AB365" s="17">
        <v>3.9098896961934072E-12</v>
      </c>
      <c r="AC365" s="2"/>
    </row>
    <row r="366" spans="1:29" x14ac:dyDescent="0.35">
      <c r="A366" s="18"/>
      <c r="B366" s="19" t="s">
        <v>23</v>
      </c>
      <c r="C366" s="20">
        <v>216</v>
      </c>
      <c r="D366" s="21">
        <v>216</v>
      </c>
      <c r="E366" s="21">
        <v>216</v>
      </c>
      <c r="F366" s="21">
        <v>216</v>
      </c>
      <c r="G366" s="21">
        <v>216</v>
      </c>
      <c r="H366" s="21">
        <v>216</v>
      </c>
      <c r="I366" s="21">
        <v>216</v>
      </c>
      <c r="J366" s="21">
        <v>216</v>
      </c>
      <c r="K366" s="21">
        <v>216</v>
      </c>
      <c r="L366" s="21">
        <v>216</v>
      </c>
      <c r="M366" s="21">
        <v>216</v>
      </c>
      <c r="N366" s="21">
        <v>216</v>
      </c>
      <c r="O366" s="21">
        <v>216</v>
      </c>
      <c r="P366" s="21">
        <v>216</v>
      </c>
      <c r="Q366" s="21">
        <v>216</v>
      </c>
      <c r="R366" s="21">
        <v>216</v>
      </c>
      <c r="S366" s="21">
        <v>216</v>
      </c>
      <c r="T366" s="21">
        <v>216</v>
      </c>
      <c r="U366" s="21">
        <v>216</v>
      </c>
      <c r="V366" s="21">
        <v>216</v>
      </c>
      <c r="W366" s="21">
        <v>216</v>
      </c>
      <c r="X366" s="21">
        <v>216</v>
      </c>
      <c r="Y366" s="21">
        <v>216</v>
      </c>
      <c r="Z366" s="21">
        <v>216</v>
      </c>
      <c r="AA366" s="21">
        <v>216</v>
      </c>
      <c r="AB366" s="22">
        <v>216</v>
      </c>
      <c r="AC366" s="2"/>
    </row>
    <row r="367" spans="1:29" ht="34.5" x14ac:dyDescent="0.35">
      <c r="A367" s="18" t="s">
        <v>121</v>
      </c>
      <c r="B367" s="14" t="s">
        <v>21</v>
      </c>
      <c r="C367" s="23" t="s">
        <v>526</v>
      </c>
      <c r="D367" s="16">
        <v>9.0017492746479896E-2</v>
      </c>
      <c r="E367" s="25" t="s">
        <v>312</v>
      </c>
      <c r="F367" s="25" t="s">
        <v>491</v>
      </c>
      <c r="G367" s="25" t="s">
        <v>315</v>
      </c>
      <c r="H367" s="16">
        <v>0.12836018117952191</v>
      </c>
      <c r="I367" s="25" t="s">
        <v>178</v>
      </c>
      <c r="J367" s="16">
        <v>7.6208508431053659E-2</v>
      </c>
      <c r="K367" s="16">
        <v>1.9266620944841516E-2</v>
      </c>
      <c r="L367" s="16">
        <v>-1.365656471084487E-2</v>
      </c>
      <c r="M367" s="25" t="s">
        <v>529</v>
      </c>
      <c r="N367" s="16">
        <v>4.9580515571879299E-2</v>
      </c>
      <c r="O367" s="16">
        <v>3.5867364198827641E-2</v>
      </c>
      <c r="P367" s="16">
        <v>4.6596931972596276E-2</v>
      </c>
      <c r="Q367" s="25" t="s">
        <v>190</v>
      </c>
      <c r="R367" s="25" t="s">
        <v>530</v>
      </c>
      <c r="S367" s="25" t="s">
        <v>247</v>
      </c>
      <c r="T367" s="24">
        <v>1</v>
      </c>
      <c r="U367" s="25" t="s">
        <v>428</v>
      </c>
      <c r="V367" s="25" t="s">
        <v>205</v>
      </c>
      <c r="W367" s="25" t="s">
        <v>155</v>
      </c>
      <c r="X367" s="25" t="s">
        <v>144</v>
      </c>
      <c r="Y367" s="25" t="s">
        <v>316</v>
      </c>
      <c r="Z367" s="25" t="s">
        <v>308</v>
      </c>
      <c r="AA367" s="25" t="s">
        <v>293</v>
      </c>
      <c r="AB367" s="26" t="s">
        <v>168</v>
      </c>
      <c r="AC367" s="2"/>
    </row>
    <row r="368" spans="1:29" ht="23" x14ac:dyDescent="0.35">
      <c r="A368" s="13"/>
      <c r="B368" s="14" t="s">
        <v>22</v>
      </c>
      <c r="C368" s="27">
        <v>4.3110539962791742E-3</v>
      </c>
      <c r="D368" s="16">
        <v>0.18750958572768897</v>
      </c>
      <c r="E368" s="16">
        <v>1.1305798406035947E-4</v>
      </c>
      <c r="F368" s="16">
        <v>6.7992379209812399E-4</v>
      </c>
      <c r="G368" s="16">
        <v>3.7786743731979231E-8</v>
      </c>
      <c r="H368" s="16">
        <v>5.9652467916795911E-2</v>
      </c>
      <c r="I368" s="16">
        <v>7.9758505238253691E-5</v>
      </c>
      <c r="J368" s="16">
        <v>0.26478388944774062</v>
      </c>
      <c r="K368" s="16">
        <v>0.77829361443358824</v>
      </c>
      <c r="L368" s="16">
        <v>0.84182911088883083</v>
      </c>
      <c r="M368" s="16">
        <v>1.2015641977784779E-2</v>
      </c>
      <c r="N368" s="16">
        <v>0.46851363619025643</v>
      </c>
      <c r="O368" s="16">
        <v>0.60010436234988596</v>
      </c>
      <c r="P368" s="16">
        <v>0.49572681999005663</v>
      </c>
      <c r="Q368" s="16">
        <v>4.146425538683278E-2</v>
      </c>
      <c r="R368" s="16">
        <v>2.1274557555720417E-6</v>
      </c>
      <c r="S368" s="16">
        <v>1.6302476055209947E-2</v>
      </c>
      <c r="T368" s="28"/>
      <c r="U368" s="16">
        <v>3.0049139115352662E-3</v>
      </c>
      <c r="V368" s="16">
        <v>3.3380442056516987E-4</v>
      </c>
      <c r="W368" s="16">
        <v>3.7359073341574288E-3</v>
      </c>
      <c r="X368" s="16">
        <v>2.2853067410591427E-4</v>
      </c>
      <c r="Y368" s="16">
        <v>1.4477117871503059E-5</v>
      </c>
      <c r="Z368" s="16">
        <v>3.0909630377823577E-4</v>
      </c>
      <c r="AA368" s="16">
        <v>1.6171155820760273E-3</v>
      </c>
      <c r="AB368" s="17">
        <v>1.6199202353253986E-11</v>
      </c>
      <c r="AC368" s="2"/>
    </row>
    <row r="369" spans="1:29" x14ac:dyDescent="0.35">
      <c r="A369" s="18"/>
      <c r="B369" s="19" t="s">
        <v>23</v>
      </c>
      <c r="C369" s="20">
        <v>216</v>
      </c>
      <c r="D369" s="21">
        <v>216</v>
      </c>
      <c r="E369" s="21">
        <v>216</v>
      </c>
      <c r="F369" s="21">
        <v>216</v>
      </c>
      <c r="G369" s="21">
        <v>216</v>
      </c>
      <c r="H369" s="21">
        <v>216</v>
      </c>
      <c r="I369" s="21">
        <v>216</v>
      </c>
      <c r="J369" s="21">
        <v>216</v>
      </c>
      <c r="K369" s="21">
        <v>216</v>
      </c>
      <c r="L369" s="21">
        <v>216</v>
      </c>
      <c r="M369" s="21">
        <v>216</v>
      </c>
      <c r="N369" s="21">
        <v>216</v>
      </c>
      <c r="O369" s="21">
        <v>216</v>
      </c>
      <c r="P369" s="21">
        <v>216</v>
      </c>
      <c r="Q369" s="21">
        <v>216</v>
      </c>
      <c r="R369" s="21">
        <v>216</v>
      </c>
      <c r="S369" s="21">
        <v>216</v>
      </c>
      <c r="T369" s="21">
        <v>216</v>
      </c>
      <c r="U369" s="21">
        <v>216</v>
      </c>
      <c r="V369" s="21">
        <v>216</v>
      </c>
      <c r="W369" s="21">
        <v>216</v>
      </c>
      <c r="X369" s="21">
        <v>216</v>
      </c>
      <c r="Y369" s="21">
        <v>216</v>
      </c>
      <c r="Z369" s="21">
        <v>216</v>
      </c>
      <c r="AA369" s="21">
        <v>216</v>
      </c>
      <c r="AB369" s="22">
        <v>216</v>
      </c>
      <c r="AC369" s="2"/>
    </row>
    <row r="370" spans="1:29" ht="34.5" x14ac:dyDescent="0.35">
      <c r="A370" s="18" t="s">
        <v>122</v>
      </c>
      <c r="B370" s="14" t="s">
        <v>21</v>
      </c>
      <c r="C370" s="23" t="s">
        <v>383</v>
      </c>
      <c r="D370" s="16">
        <v>9.8712153315474588E-3</v>
      </c>
      <c r="E370" s="25" t="s">
        <v>540</v>
      </c>
      <c r="F370" s="16">
        <v>-7.0712775031961536E-2</v>
      </c>
      <c r="G370" s="25" t="s">
        <v>527</v>
      </c>
      <c r="H370" s="16">
        <v>3.6565117681280256E-2</v>
      </c>
      <c r="I370" s="25" t="s">
        <v>541</v>
      </c>
      <c r="J370" s="25" t="s">
        <v>407</v>
      </c>
      <c r="K370" s="16">
        <v>0.10085397372192927</v>
      </c>
      <c r="L370" s="25" t="s">
        <v>542</v>
      </c>
      <c r="M370" s="16">
        <v>-3.8279108949272639E-2</v>
      </c>
      <c r="N370" s="25" t="s">
        <v>184</v>
      </c>
      <c r="O370" s="25" t="s">
        <v>241</v>
      </c>
      <c r="P370" s="25" t="s">
        <v>165</v>
      </c>
      <c r="Q370" s="25" t="s">
        <v>422</v>
      </c>
      <c r="R370" s="25" t="s">
        <v>190</v>
      </c>
      <c r="S370" s="16">
        <v>6.7919008596794561E-2</v>
      </c>
      <c r="T370" s="25" t="s">
        <v>428</v>
      </c>
      <c r="U370" s="24">
        <v>1</v>
      </c>
      <c r="V370" s="25" t="s">
        <v>192</v>
      </c>
      <c r="W370" s="16">
        <v>-5.2016592852245719E-2</v>
      </c>
      <c r="X370" s="25" t="s">
        <v>464</v>
      </c>
      <c r="Y370" s="25" t="s">
        <v>230</v>
      </c>
      <c r="Z370" s="25" t="s">
        <v>231</v>
      </c>
      <c r="AA370" s="25" t="s">
        <v>560</v>
      </c>
      <c r="AB370" s="26" t="s">
        <v>561</v>
      </c>
      <c r="AC370" s="2"/>
    </row>
    <row r="371" spans="1:29" ht="23" x14ac:dyDescent="0.35">
      <c r="A371" s="13"/>
      <c r="B371" s="14" t="s">
        <v>22</v>
      </c>
      <c r="C371" s="27">
        <v>1.1451745523146357E-4</v>
      </c>
      <c r="D371" s="16">
        <v>0.88531225882358056</v>
      </c>
      <c r="E371" s="16">
        <v>3.4650386784333201E-2</v>
      </c>
      <c r="F371" s="16">
        <v>0.30089004641454764</v>
      </c>
      <c r="G371" s="16">
        <v>7.9961528748846364E-3</v>
      </c>
      <c r="H371" s="16">
        <v>0.59302620696037667</v>
      </c>
      <c r="I371" s="16">
        <v>2.8704357928298273E-13</v>
      </c>
      <c r="J371" s="16">
        <v>1.8254813768987561E-5</v>
      </c>
      <c r="K371" s="16">
        <v>0.13956484042776693</v>
      </c>
      <c r="L371" s="16">
        <v>1.6550694614289213E-6</v>
      </c>
      <c r="M371" s="16">
        <v>0.57580249831331654</v>
      </c>
      <c r="N371" s="16">
        <v>6.0265107583968233E-3</v>
      </c>
      <c r="O371" s="16">
        <v>3.2004603478513418E-5</v>
      </c>
      <c r="P371" s="16">
        <v>1.5519962009376796E-7</v>
      </c>
      <c r="Q371" s="16">
        <v>3.9542476418420185E-5</v>
      </c>
      <c r="R371" s="16">
        <v>4.1332187509827527E-2</v>
      </c>
      <c r="S371" s="16">
        <v>0.32043848018187426</v>
      </c>
      <c r="T371" s="16">
        <v>3.0049139115352662E-3</v>
      </c>
      <c r="U371" s="28"/>
      <c r="V371" s="16">
        <v>2.2798930082965339E-3</v>
      </c>
      <c r="W371" s="16">
        <v>0.44691764501432552</v>
      </c>
      <c r="X371" s="16">
        <v>2.3961944760715419E-3</v>
      </c>
      <c r="Y371" s="16">
        <v>8.2094514020320253E-3</v>
      </c>
      <c r="Z371" s="16">
        <v>6.9896075792301961E-6</v>
      </c>
      <c r="AA371" s="16">
        <v>1.3051924752202082E-103</v>
      </c>
      <c r="AB371" s="17">
        <v>8.0689693135154523E-14</v>
      </c>
      <c r="AC371" s="2"/>
    </row>
    <row r="372" spans="1:29" x14ac:dyDescent="0.35">
      <c r="A372" s="18"/>
      <c r="B372" s="19" t="s">
        <v>23</v>
      </c>
      <c r="C372" s="20">
        <v>216</v>
      </c>
      <c r="D372" s="21">
        <v>216</v>
      </c>
      <c r="E372" s="21">
        <v>216</v>
      </c>
      <c r="F372" s="21">
        <v>216</v>
      </c>
      <c r="G372" s="21">
        <v>216</v>
      </c>
      <c r="H372" s="21">
        <v>216</v>
      </c>
      <c r="I372" s="21">
        <v>216</v>
      </c>
      <c r="J372" s="21">
        <v>216</v>
      </c>
      <c r="K372" s="21">
        <v>216</v>
      </c>
      <c r="L372" s="21">
        <v>216</v>
      </c>
      <c r="M372" s="21">
        <v>216</v>
      </c>
      <c r="N372" s="21">
        <v>216</v>
      </c>
      <c r="O372" s="21">
        <v>216</v>
      </c>
      <c r="P372" s="21">
        <v>216</v>
      </c>
      <c r="Q372" s="21">
        <v>216</v>
      </c>
      <c r="R372" s="21">
        <v>216</v>
      </c>
      <c r="S372" s="21">
        <v>216</v>
      </c>
      <c r="T372" s="21">
        <v>216</v>
      </c>
      <c r="U372" s="21">
        <v>216</v>
      </c>
      <c r="V372" s="21">
        <v>216</v>
      </c>
      <c r="W372" s="21">
        <v>216</v>
      </c>
      <c r="X372" s="21">
        <v>216</v>
      </c>
      <c r="Y372" s="21">
        <v>216</v>
      </c>
      <c r="Z372" s="21">
        <v>216</v>
      </c>
      <c r="AA372" s="21">
        <v>216</v>
      </c>
      <c r="AB372" s="22">
        <v>216</v>
      </c>
      <c r="AC372" s="2"/>
    </row>
    <row r="373" spans="1:29" ht="34.5" x14ac:dyDescent="0.35">
      <c r="A373" s="18" t="s">
        <v>123</v>
      </c>
      <c r="B373" s="14" t="s">
        <v>21</v>
      </c>
      <c r="C373" s="23" t="s">
        <v>143</v>
      </c>
      <c r="D373" s="25" t="s">
        <v>235</v>
      </c>
      <c r="E373" s="25" t="s">
        <v>491</v>
      </c>
      <c r="F373" s="25" t="s">
        <v>315</v>
      </c>
      <c r="G373" s="25" t="s">
        <v>301</v>
      </c>
      <c r="H373" s="25" t="s">
        <v>338</v>
      </c>
      <c r="I373" s="25" t="s">
        <v>497</v>
      </c>
      <c r="J373" s="25" t="s">
        <v>136</v>
      </c>
      <c r="K373" s="25" t="s">
        <v>491</v>
      </c>
      <c r="L373" s="25" t="s">
        <v>221</v>
      </c>
      <c r="M373" s="25" t="s">
        <v>225</v>
      </c>
      <c r="N373" s="25" t="s">
        <v>543</v>
      </c>
      <c r="O373" s="25" t="s">
        <v>168</v>
      </c>
      <c r="P373" s="25" t="s">
        <v>544</v>
      </c>
      <c r="Q373" s="25" t="s">
        <v>545</v>
      </c>
      <c r="R373" s="25" t="s">
        <v>506</v>
      </c>
      <c r="S373" s="25" t="s">
        <v>467</v>
      </c>
      <c r="T373" s="25" t="s">
        <v>205</v>
      </c>
      <c r="U373" s="25" t="s">
        <v>192</v>
      </c>
      <c r="V373" s="24">
        <v>1</v>
      </c>
      <c r="W373" s="25" t="s">
        <v>334</v>
      </c>
      <c r="X373" s="25" t="s">
        <v>353</v>
      </c>
      <c r="Y373" s="25" t="s">
        <v>180</v>
      </c>
      <c r="Z373" s="25" t="s">
        <v>282</v>
      </c>
      <c r="AA373" s="25" t="s">
        <v>390</v>
      </c>
      <c r="AB373" s="26" t="s">
        <v>562</v>
      </c>
      <c r="AC373" s="2"/>
    </row>
    <row r="374" spans="1:29" ht="23" x14ac:dyDescent="0.35">
      <c r="A374" s="13"/>
      <c r="B374" s="14" t="s">
        <v>22</v>
      </c>
      <c r="C374" s="27">
        <v>2.9184827752344611E-4</v>
      </c>
      <c r="D374" s="16">
        <v>2.2421552562079265E-8</v>
      </c>
      <c r="E374" s="16">
        <v>6.8931393273859772E-4</v>
      </c>
      <c r="F374" s="16">
        <v>3.575353244105089E-8</v>
      </c>
      <c r="G374" s="16">
        <v>3.995671658598981E-3</v>
      </c>
      <c r="H374" s="16">
        <v>9.3586900523698105E-9</v>
      </c>
      <c r="I374" s="16">
        <v>1.1066911439761491E-8</v>
      </c>
      <c r="J374" s="16">
        <v>1.4870649030715918E-4</v>
      </c>
      <c r="K374" s="16">
        <v>6.9860536269614258E-4</v>
      </c>
      <c r="L374" s="16">
        <v>5.5367823146398486E-7</v>
      </c>
      <c r="M374" s="16">
        <v>1.4599125755521156E-8</v>
      </c>
      <c r="N374" s="16">
        <v>2.8949868248267521E-55</v>
      </c>
      <c r="O374" s="16">
        <v>1.4726297490855485E-11</v>
      </c>
      <c r="P374" s="16">
        <v>3.8100161727172298E-8</v>
      </c>
      <c r="Q374" s="16">
        <v>6.9377059587201146E-8</v>
      </c>
      <c r="R374" s="16">
        <v>5.710188869112382E-4</v>
      </c>
      <c r="S374" s="16">
        <v>1.1620218561636386E-6</v>
      </c>
      <c r="T374" s="16">
        <v>3.3380442056516987E-4</v>
      </c>
      <c r="U374" s="16">
        <v>2.2798930082965339E-3</v>
      </c>
      <c r="V374" s="28"/>
      <c r="W374" s="16">
        <v>7.5960936911399756E-8</v>
      </c>
      <c r="X374" s="16">
        <v>8.8266877791896977E-10</v>
      </c>
      <c r="Y374" s="16">
        <v>7.7674695364555284E-3</v>
      </c>
      <c r="Z374" s="16">
        <v>2.8865466046984587E-3</v>
      </c>
      <c r="AA374" s="16">
        <v>1.5482861277234809E-3</v>
      </c>
      <c r="AB374" s="17">
        <v>6.2812239494007949E-35</v>
      </c>
      <c r="AC374" s="2"/>
    </row>
    <row r="375" spans="1:29" x14ac:dyDescent="0.35">
      <c r="A375" s="18"/>
      <c r="B375" s="19" t="s">
        <v>23</v>
      </c>
      <c r="C375" s="20">
        <v>216</v>
      </c>
      <c r="D375" s="21">
        <v>216</v>
      </c>
      <c r="E375" s="21">
        <v>216</v>
      </c>
      <c r="F375" s="21">
        <v>216</v>
      </c>
      <c r="G375" s="21">
        <v>216</v>
      </c>
      <c r="H375" s="21">
        <v>216</v>
      </c>
      <c r="I375" s="21">
        <v>216</v>
      </c>
      <c r="J375" s="21">
        <v>216</v>
      </c>
      <c r="K375" s="21">
        <v>216</v>
      </c>
      <c r="L375" s="21">
        <v>216</v>
      </c>
      <c r="M375" s="21">
        <v>216</v>
      </c>
      <c r="N375" s="21">
        <v>216</v>
      </c>
      <c r="O375" s="21">
        <v>216</v>
      </c>
      <c r="P375" s="21">
        <v>216</v>
      </c>
      <c r="Q375" s="21">
        <v>216</v>
      </c>
      <c r="R375" s="21">
        <v>216</v>
      </c>
      <c r="S375" s="21">
        <v>216</v>
      </c>
      <c r="T375" s="21">
        <v>216</v>
      </c>
      <c r="U375" s="21">
        <v>216</v>
      </c>
      <c r="V375" s="21">
        <v>216</v>
      </c>
      <c r="W375" s="21">
        <v>216</v>
      </c>
      <c r="X375" s="21">
        <v>216</v>
      </c>
      <c r="Y375" s="21">
        <v>216</v>
      </c>
      <c r="Z375" s="21">
        <v>216</v>
      </c>
      <c r="AA375" s="21">
        <v>216</v>
      </c>
      <c r="AB375" s="22">
        <v>216</v>
      </c>
      <c r="AC375" s="2"/>
    </row>
    <row r="376" spans="1:29" ht="34.5" x14ac:dyDescent="0.35">
      <c r="A376" s="18" t="s">
        <v>124</v>
      </c>
      <c r="B376" s="14" t="s">
        <v>21</v>
      </c>
      <c r="C376" s="23" t="s">
        <v>526</v>
      </c>
      <c r="D376" s="25" t="s">
        <v>215</v>
      </c>
      <c r="E376" s="25" t="s">
        <v>403</v>
      </c>
      <c r="F376" s="25" t="s">
        <v>546</v>
      </c>
      <c r="G376" s="25" t="s">
        <v>385</v>
      </c>
      <c r="H376" s="16">
        <v>6.2582112618175229E-2</v>
      </c>
      <c r="I376" s="16">
        <v>0.11130076718452679</v>
      </c>
      <c r="J376" s="16">
        <v>6.8388722125357099E-2</v>
      </c>
      <c r="K376" s="16">
        <v>0.10122877134766514</v>
      </c>
      <c r="L376" s="16">
        <v>-3.2691972615284878E-2</v>
      </c>
      <c r="M376" s="25" t="s">
        <v>376</v>
      </c>
      <c r="N376" s="16">
        <v>7.723005696504015E-2</v>
      </c>
      <c r="O376" s="16">
        <v>-6.0560023285731748E-2</v>
      </c>
      <c r="P376" s="16">
        <v>-1.9504954194921525E-2</v>
      </c>
      <c r="Q376" s="16">
        <v>-2.6592894982963525E-2</v>
      </c>
      <c r="R376" s="25" t="s">
        <v>527</v>
      </c>
      <c r="S376" s="25" t="s">
        <v>231</v>
      </c>
      <c r="T376" s="25" t="s">
        <v>155</v>
      </c>
      <c r="U376" s="16">
        <v>-5.2016592852245719E-2</v>
      </c>
      <c r="V376" s="25" t="s">
        <v>334</v>
      </c>
      <c r="W376" s="24">
        <v>1</v>
      </c>
      <c r="X376" s="16">
        <v>9.6087060346798911E-2</v>
      </c>
      <c r="Y376" s="25" t="s">
        <v>457</v>
      </c>
      <c r="Z376" s="25" t="s">
        <v>409</v>
      </c>
      <c r="AA376" s="16">
        <v>-7.4712232506366244E-2</v>
      </c>
      <c r="AB376" s="26" t="s">
        <v>489</v>
      </c>
      <c r="AC376" s="2"/>
    </row>
    <row r="377" spans="1:29" ht="23" x14ac:dyDescent="0.35">
      <c r="A377" s="13"/>
      <c r="B377" s="14" t="s">
        <v>22</v>
      </c>
      <c r="C377" s="27">
        <v>4.2950971263514244E-3</v>
      </c>
      <c r="D377" s="16">
        <v>1.7454550445783167E-2</v>
      </c>
      <c r="E377" s="16">
        <v>3.819718961912489E-2</v>
      </c>
      <c r="F377" s="16">
        <v>3.9516307619783338E-95</v>
      </c>
      <c r="G377" s="16">
        <v>1.3770711771459674E-2</v>
      </c>
      <c r="H377" s="16">
        <v>0.36002045959878914</v>
      </c>
      <c r="I377" s="16">
        <v>0.10281406214089897</v>
      </c>
      <c r="J377" s="16">
        <v>0.3170954273150523</v>
      </c>
      <c r="K377" s="16">
        <v>0.13809242139326192</v>
      </c>
      <c r="L377" s="16">
        <v>0.6327842185616801</v>
      </c>
      <c r="M377" s="16">
        <v>6.9882199626008605E-3</v>
      </c>
      <c r="N377" s="16">
        <v>0.25841384092278358</v>
      </c>
      <c r="O377" s="16">
        <v>0.37578153320521357</v>
      </c>
      <c r="P377" s="16">
        <v>0.7756235586030229</v>
      </c>
      <c r="Q377" s="16">
        <v>0.69754612057045162</v>
      </c>
      <c r="R377" s="16">
        <v>7.9906119766060425E-3</v>
      </c>
      <c r="S377" s="16">
        <v>7.3668703599660414E-6</v>
      </c>
      <c r="T377" s="16">
        <v>3.7359073341574288E-3</v>
      </c>
      <c r="U377" s="16">
        <v>0.44691764501432552</v>
      </c>
      <c r="V377" s="16">
        <v>7.5960936911399756E-8</v>
      </c>
      <c r="W377" s="28"/>
      <c r="X377" s="16">
        <v>0.15935337963123627</v>
      </c>
      <c r="Y377" s="16">
        <v>5.202944108174676E-3</v>
      </c>
      <c r="Z377" s="16">
        <v>2.420032325822065E-3</v>
      </c>
      <c r="AA377" s="16">
        <v>0.27430674115551573</v>
      </c>
      <c r="AB377" s="17">
        <v>5.7877502151583809E-9</v>
      </c>
      <c r="AC377" s="2"/>
    </row>
    <row r="378" spans="1:29" x14ac:dyDescent="0.35">
      <c r="A378" s="18"/>
      <c r="B378" s="19" t="s">
        <v>23</v>
      </c>
      <c r="C378" s="20">
        <v>216</v>
      </c>
      <c r="D378" s="21">
        <v>216</v>
      </c>
      <c r="E378" s="21">
        <v>216</v>
      </c>
      <c r="F378" s="21">
        <v>216</v>
      </c>
      <c r="G378" s="21">
        <v>216</v>
      </c>
      <c r="H378" s="21">
        <v>216</v>
      </c>
      <c r="I378" s="21">
        <v>216</v>
      </c>
      <c r="J378" s="21">
        <v>216</v>
      </c>
      <c r="K378" s="21">
        <v>216</v>
      </c>
      <c r="L378" s="21">
        <v>216</v>
      </c>
      <c r="M378" s="21">
        <v>216</v>
      </c>
      <c r="N378" s="21">
        <v>216</v>
      </c>
      <c r="O378" s="21">
        <v>216</v>
      </c>
      <c r="P378" s="21">
        <v>216</v>
      </c>
      <c r="Q378" s="21">
        <v>216</v>
      </c>
      <c r="R378" s="21">
        <v>216</v>
      </c>
      <c r="S378" s="21">
        <v>216</v>
      </c>
      <c r="T378" s="21">
        <v>216</v>
      </c>
      <c r="U378" s="21">
        <v>216</v>
      </c>
      <c r="V378" s="21">
        <v>216</v>
      </c>
      <c r="W378" s="21">
        <v>216</v>
      </c>
      <c r="X378" s="21">
        <v>216</v>
      </c>
      <c r="Y378" s="21">
        <v>216</v>
      </c>
      <c r="Z378" s="21">
        <v>216</v>
      </c>
      <c r="AA378" s="21">
        <v>216</v>
      </c>
      <c r="AB378" s="22">
        <v>216</v>
      </c>
      <c r="AC378" s="2"/>
    </row>
    <row r="379" spans="1:29" ht="34.5" x14ac:dyDescent="0.35">
      <c r="A379" s="18" t="s">
        <v>125</v>
      </c>
      <c r="B379" s="14" t="s">
        <v>21</v>
      </c>
      <c r="C379" s="23" t="s">
        <v>144</v>
      </c>
      <c r="D379" s="25" t="s">
        <v>390</v>
      </c>
      <c r="E379" s="16">
        <v>0.1191529009900712</v>
      </c>
      <c r="F379" s="16">
        <v>8.3588889826651566E-2</v>
      </c>
      <c r="G379" s="25" t="s">
        <v>547</v>
      </c>
      <c r="H379" s="25" t="s">
        <v>264</v>
      </c>
      <c r="I379" s="25" t="s">
        <v>338</v>
      </c>
      <c r="J379" s="16">
        <v>8.4649830731650874E-2</v>
      </c>
      <c r="K379" s="25" t="s">
        <v>386</v>
      </c>
      <c r="L379" s="16">
        <v>7.8138305290754509E-2</v>
      </c>
      <c r="M379" s="16">
        <v>0.11345130832986763</v>
      </c>
      <c r="N379" s="25" t="s">
        <v>352</v>
      </c>
      <c r="O379" s="25" t="s">
        <v>283</v>
      </c>
      <c r="P379" s="16">
        <v>8.6030081649382278E-2</v>
      </c>
      <c r="Q379" s="25" t="s">
        <v>548</v>
      </c>
      <c r="R379" s="25" t="s">
        <v>504</v>
      </c>
      <c r="S379" s="16">
        <v>5.7265753212873305E-2</v>
      </c>
      <c r="T379" s="25" t="s">
        <v>144</v>
      </c>
      <c r="U379" s="25" t="s">
        <v>464</v>
      </c>
      <c r="V379" s="25" t="s">
        <v>353</v>
      </c>
      <c r="W379" s="16">
        <v>9.6087060346798911E-2</v>
      </c>
      <c r="X379" s="24">
        <v>1</v>
      </c>
      <c r="Y379" s="16">
        <v>2.8957568805627259E-2</v>
      </c>
      <c r="Z379" s="25" t="s">
        <v>195</v>
      </c>
      <c r="AA379" s="25" t="s">
        <v>397</v>
      </c>
      <c r="AB379" s="26" t="s">
        <v>563</v>
      </c>
      <c r="AC379" s="2"/>
    </row>
    <row r="380" spans="1:29" ht="23" x14ac:dyDescent="0.35">
      <c r="A380" s="13"/>
      <c r="B380" s="14" t="s">
        <v>22</v>
      </c>
      <c r="C380" s="27">
        <v>2.3506937986526801E-4</v>
      </c>
      <c r="D380" s="16">
        <v>1.5271969635679103E-3</v>
      </c>
      <c r="E380" s="16">
        <v>8.05937210095337E-2</v>
      </c>
      <c r="F380" s="16">
        <v>0.22113532265420702</v>
      </c>
      <c r="G380" s="16">
        <v>3.4585810637025742E-9</v>
      </c>
      <c r="H380" s="16">
        <v>2.7384089823143015E-9</v>
      </c>
      <c r="I380" s="16">
        <v>9.1644865347000428E-9</v>
      </c>
      <c r="J380" s="16">
        <v>0.21530856815348901</v>
      </c>
      <c r="K380" s="16">
        <v>3.0394410451634941E-6</v>
      </c>
      <c r="L380" s="16">
        <v>0.25283956299456539</v>
      </c>
      <c r="M380" s="16">
        <v>9.6295290228593552E-2</v>
      </c>
      <c r="N380" s="16">
        <v>2.3054845345305281E-5</v>
      </c>
      <c r="O380" s="16">
        <v>2.3142716830694184E-2</v>
      </c>
      <c r="P380" s="16">
        <v>0.20789368096534844</v>
      </c>
      <c r="Q380" s="16">
        <v>2.5422473850635808E-25</v>
      </c>
      <c r="R380" s="16">
        <v>9.2815571075258471E-6</v>
      </c>
      <c r="S380" s="16">
        <v>0.40234800823794747</v>
      </c>
      <c r="T380" s="16">
        <v>2.2853067410591427E-4</v>
      </c>
      <c r="U380" s="16">
        <v>2.3961944760715419E-3</v>
      </c>
      <c r="V380" s="16">
        <v>8.8266877791896977E-10</v>
      </c>
      <c r="W380" s="16">
        <v>0.15935337963123627</v>
      </c>
      <c r="X380" s="28"/>
      <c r="Y380" s="16">
        <v>0.67214431082692871</v>
      </c>
      <c r="Z380" s="16">
        <v>2.2267268219363402E-2</v>
      </c>
      <c r="AA380" s="16">
        <v>1.4011960989152914E-4</v>
      </c>
      <c r="AB380" s="17">
        <v>1.0742444544077284E-16</v>
      </c>
      <c r="AC380" s="2"/>
    </row>
    <row r="381" spans="1:29" x14ac:dyDescent="0.35">
      <c r="A381" s="18"/>
      <c r="B381" s="19" t="s">
        <v>23</v>
      </c>
      <c r="C381" s="20">
        <v>216</v>
      </c>
      <c r="D381" s="21">
        <v>216</v>
      </c>
      <c r="E381" s="21">
        <v>216</v>
      </c>
      <c r="F381" s="21">
        <v>216</v>
      </c>
      <c r="G381" s="21">
        <v>216</v>
      </c>
      <c r="H381" s="21">
        <v>216</v>
      </c>
      <c r="I381" s="21">
        <v>216</v>
      </c>
      <c r="J381" s="21">
        <v>216</v>
      </c>
      <c r="K381" s="21">
        <v>216</v>
      </c>
      <c r="L381" s="21">
        <v>216</v>
      </c>
      <c r="M381" s="21">
        <v>216</v>
      </c>
      <c r="N381" s="21">
        <v>216</v>
      </c>
      <c r="O381" s="21">
        <v>216</v>
      </c>
      <c r="P381" s="21">
        <v>216</v>
      </c>
      <c r="Q381" s="21">
        <v>216</v>
      </c>
      <c r="R381" s="21">
        <v>216</v>
      </c>
      <c r="S381" s="21">
        <v>216</v>
      </c>
      <c r="T381" s="21">
        <v>216</v>
      </c>
      <c r="U381" s="21">
        <v>216</v>
      </c>
      <c r="V381" s="21">
        <v>216</v>
      </c>
      <c r="W381" s="21">
        <v>216</v>
      </c>
      <c r="X381" s="21">
        <v>216</v>
      </c>
      <c r="Y381" s="21">
        <v>216</v>
      </c>
      <c r="Z381" s="21">
        <v>216</v>
      </c>
      <c r="AA381" s="21">
        <v>216</v>
      </c>
      <c r="AB381" s="22">
        <v>216</v>
      </c>
      <c r="AC381" s="2"/>
    </row>
    <row r="382" spans="1:29" ht="34.5" x14ac:dyDescent="0.35">
      <c r="A382" s="18" t="s">
        <v>126</v>
      </c>
      <c r="B382" s="14" t="s">
        <v>21</v>
      </c>
      <c r="C382" s="23" t="s">
        <v>350</v>
      </c>
      <c r="D382" s="25" t="s">
        <v>414</v>
      </c>
      <c r="E382" s="25" t="s">
        <v>549</v>
      </c>
      <c r="F382" s="25" t="s">
        <v>465</v>
      </c>
      <c r="G382" s="25" t="s">
        <v>282</v>
      </c>
      <c r="H382" s="16">
        <v>0.13021105117071463</v>
      </c>
      <c r="I382" s="16">
        <v>4.8103256954004414E-2</v>
      </c>
      <c r="J382" s="25" t="s">
        <v>465</v>
      </c>
      <c r="K382" s="16">
        <v>8.3075070436357853E-2</v>
      </c>
      <c r="L382" s="25" t="s">
        <v>151</v>
      </c>
      <c r="M382" s="25" t="s">
        <v>178</v>
      </c>
      <c r="N382" s="16">
        <v>0.1284640915446362</v>
      </c>
      <c r="O382" s="25" t="s">
        <v>488</v>
      </c>
      <c r="P382" s="25" t="s">
        <v>160</v>
      </c>
      <c r="Q382" s="16">
        <v>0.11280559965346225</v>
      </c>
      <c r="R382" s="16">
        <v>9.401493554792309E-2</v>
      </c>
      <c r="S382" s="25" t="s">
        <v>507</v>
      </c>
      <c r="T382" s="25" t="s">
        <v>316</v>
      </c>
      <c r="U382" s="25" t="s">
        <v>230</v>
      </c>
      <c r="V382" s="25" t="s">
        <v>180</v>
      </c>
      <c r="W382" s="25" t="s">
        <v>457</v>
      </c>
      <c r="X382" s="16">
        <v>2.8957568805627259E-2</v>
      </c>
      <c r="Y382" s="24">
        <v>1</v>
      </c>
      <c r="Z382" s="25" t="s">
        <v>192</v>
      </c>
      <c r="AA382" s="25" t="s">
        <v>195</v>
      </c>
      <c r="AB382" s="26" t="s">
        <v>402</v>
      </c>
      <c r="AC382" s="2"/>
    </row>
    <row r="383" spans="1:29" ht="23" x14ac:dyDescent="0.35">
      <c r="A383" s="13"/>
      <c r="B383" s="14" t="s">
        <v>22</v>
      </c>
      <c r="C383" s="27">
        <v>1.1459063939804469E-3</v>
      </c>
      <c r="D383" s="16">
        <v>2.6459249456112964E-4</v>
      </c>
      <c r="E383" s="16">
        <v>8.5140280564461212E-29</v>
      </c>
      <c r="F383" s="16">
        <v>2.6652274832561738E-2</v>
      </c>
      <c r="G383" s="16">
        <v>2.8601235158178728E-3</v>
      </c>
      <c r="H383" s="16">
        <v>5.6037716081477625E-2</v>
      </c>
      <c r="I383" s="16">
        <v>0.48188397383973225</v>
      </c>
      <c r="J383" s="16">
        <v>2.6252427486535581E-2</v>
      </c>
      <c r="K383" s="16">
        <v>0.22399723829478493</v>
      </c>
      <c r="L383" s="16">
        <v>1.439415294735273E-3</v>
      </c>
      <c r="M383" s="16">
        <v>7.9270030233243418E-5</v>
      </c>
      <c r="N383" s="16">
        <v>5.9444563178466525E-2</v>
      </c>
      <c r="O383" s="16">
        <v>1.056380189769353E-3</v>
      </c>
      <c r="P383" s="16">
        <v>1.9062802082564235E-4</v>
      </c>
      <c r="Q383" s="16">
        <v>9.821712313866722E-2</v>
      </c>
      <c r="R383" s="16">
        <v>0.16858475659340497</v>
      </c>
      <c r="S383" s="16">
        <v>5.8886460038645998E-4</v>
      </c>
      <c r="T383" s="16">
        <v>1.4477117871503059E-5</v>
      </c>
      <c r="U383" s="16">
        <v>8.2094514020320253E-3</v>
      </c>
      <c r="V383" s="16">
        <v>7.7674695364555284E-3</v>
      </c>
      <c r="W383" s="16">
        <v>5.202944108174676E-3</v>
      </c>
      <c r="X383" s="16">
        <v>0.67214431082692871</v>
      </c>
      <c r="Y383" s="28"/>
      <c r="Z383" s="16">
        <v>2.2093014308504069E-3</v>
      </c>
      <c r="AA383" s="16">
        <v>2.2499303742992242E-2</v>
      </c>
      <c r="AB383" s="17">
        <v>1.4786919153673864E-12</v>
      </c>
      <c r="AC383" s="2"/>
    </row>
    <row r="384" spans="1:29" x14ac:dyDescent="0.35">
      <c r="A384" s="18"/>
      <c r="B384" s="19" t="s">
        <v>23</v>
      </c>
      <c r="C384" s="20">
        <v>216</v>
      </c>
      <c r="D384" s="21">
        <v>216</v>
      </c>
      <c r="E384" s="21">
        <v>216</v>
      </c>
      <c r="F384" s="21">
        <v>216</v>
      </c>
      <c r="G384" s="21">
        <v>216</v>
      </c>
      <c r="H384" s="21">
        <v>216</v>
      </c>
      <c r="I384" s="21">
        <v>216</v>
      </c>
      <c r="J384" s="21">
        <v>216</v>
      </c>
      <c r="K384" s="21">
        <v>216</v>
      </c>
      <c r="L384" s="21">
        <v>216</v>
      </c>
      <c r="M384" s="21">
        <v>216</v>
      </c>
      <c r="N384" s="21">
        <v>216</v>
      </c>
      <c r="O384" s="21">
        <v>216</v>
      </c>
      <c r="P384" s="21">
        <v>216</v>
      </c>
      <c r="Q384" s="21">
        <v>216</v>
      </c>
      <c r="R384" s="21">
        <v>216</v>
      </c>
      <c r="S384" s="21">
        <v>216</v>
      </c>
      <c r="T384" s="21">
        <v>216</v>
      </c>
      <c r="U384" s="21">
        <v>216</v>
      </c>
      <c r="V384" s="21">
        <v>216</v>
      </c>
      <c r="W384" s="21">
        <v>216</v>
      </c>
      <c r="X384" s="21">
        <v>216</v>
      </c>
      <c r="Y384" s="21">
        <v>216</v>
      </c>
      <c r="Z384" s="21">
        <v>216</v>
      </c>
      <c r="AA384" s="21">
        <v>216</v>
      </c>
      <c r="AB384" s="22">
        <v>216</v>
      </c>
      <c r="AC384" s="2"/>
    </row>
    <row r="385" spans="1:29" ht="34.5" x14ac:dyDescent="0.35">
      <c r="A385" s="18" t="s">
        <v>127</v>
      </c>
      <c r="B385" s="14" t="s">
        <v>21</v>
      </c>
      <c r="C385" s="23" t="s">
        <v>377</v>
      </c>
      <c r="D385" s="25" t="s">
        <v>181</v>
      </c>
      <c r="E385" s="25" t="s">
        <v>260</v>
      </c>
      <c r="F385" s="25" t="s">
        <v>199</v>
      </c>
      <c r="G385" s="25" t="s">
        <v>202</v>
      </c>
      <c r="H385" s="25" t="s">
        <v>146</v>
      </c>
      <c r="I385" s="25" t="s">
        <v>142</v>
      </c>
      <c r="J385" s="25" t="s">
        <v>291</v>
      </c>
      <c r="K385" s="25" t="s">
        <v>456</v>
      </c>
      <c r="L385" s="16">
        <v>0.11327516458125141</v>
      </c>
      <c r="M385" s="16">
        <v>4.8393214951275305E-2</v>
      </c>
      <c r="N385" s="16">
        <v>3.5830815981409546E-2</v>
      </c>
      <c r="O385" s="25" t="s">
        <v>540</v>
      </c>
      <c r="P385" s="25" t="s">
        <v>200</v>
      </c>
      <c r="Q385" s="16">
        <v>9.7914588203518324E-2</v>
      </c>
      <c r="R385" s="25" t="s">
        <v>454</v>
      </c>
      <c r="S385" s="25" t="s">
        <v>550</v>
      </c>
      <c r="T385" s="25" t="s">
        <v>308</v>
      </c>
      <c r="U385" s="25" t="s">
        <v>231</v>
      </c>
      <c r="V385" s="25" t="s">
        <v>282</v>
      </c>
      <c r="W385" s="25" t="s">
        <v>409</v>
      </c>
      <c r="X385" s="25" t="s">
        <v>195</v>
      </c>
      <c r="Y385" s="25" t="s">
        <v>192</v>
      </c>
      <c r="Z385" s="24">
        <v>1</v>
      </c>
      <c r="AA385" s="25" t="s">
        <v>149</v>
      </c>
      <c r="AB385" s="26" t="s">
        <v>242</v>
      </c>
      <c r="AC385" s="2"/>
    </row>
    <row r="386" spans="1:29" ht="23" x14ac:dyDescent="0.35">
      <c r="A386" s="13"/>
      <c r="B386" s="14" t="s">
        <v>22</v>
      </c>
      <c r="C386" s="27">
        <v>5.2440677271752012E-4</v>
      </c>
      <c r="D386" s="16">
        <v>3.6405509105595424E-5</v>
      </c>
      <c r="E386" s="16">
        <v>2.326117894652566E-6</v>
      </c>
      <c r="F386" s="16">
        <v>3.3867379249319231E-3</v>
      </c>
      <c r="G386" s="16">
        <v>7.7842336805285495E-7</v>
      </c>
      <c r="H386" s="16">
        <v>4.3178700219669765E-3</v>
      </c>
      <c r="I386" s="16">
        <v>6.5763599914034838E-7</v>
      </c>
      <c r="J386" s="16">
        <v>6.2932271517436154E-6</v>
      </c>
      <c r="K386" s="16">
        <v>2.5754989015180582E-5</v>
      </c>
      <c r="L386" s="16">
        <v>9.6816561599359932E-2</v>
      </c>
      <c r="M386" s="16">
        <v>0.47924348355740931</v>
      </c>
      <c r="N386" s="16">
        <v>0.60047615881180216</v>
      </c>
      <c r="O386" s="16">
        <v>3.4685982591525694E-2</v>
      </c>
      <c r="P386" s="16">
        <v>2.2192665528607186E-2</v>
      </c>
      <c r="Q386" s="16">
        <v>0.15153146463835546</v>
      </c>
      <c r="R386" s="16">
        <v>2.6480734850957546E-7</v>
      </c>
      <c r="S386" s="16">
        <v>1.1704554365445364E-28</v>
      </c>
      <c r="T386" s="16">
        <v>3.0909630377823577E-4</v>
      </c>
      <c r="U386" s="16">
        <v>6.9896075792301961E-6</v>
      </c>
      <c r="V386" s="16">
        <v>2.8865466046984587E-3</v>
      </c>
      <c r="W386" s="16">
        <v>2.420032325822065E-3</v>
      </c>
      <c r="X386" s="16">
        <v>2.2267268219363402E-2</v>
      </c>
      <c r="Y386" s="16">
        <v>2.2093014308504069E-3</v>
      </c>
      <c r="Z386" s="28"/>
      <c r="AA386" s="16">
        <v>4.8837974834977481E-7</v>
      </c>
      <c r="AB386" s="17">
        <v>3.4135666289904017E-18</v>
      </c>
      <c r="AC386" s="2"/>
    </row>
    <row r="387" spans="1:29" x14ac:dyDescent="0.35">
      <c r="A387" s="18"/>
      <c r="B387" s="19" t="s">
        <v>23</v>
      </c>
      <c r="C387" s="20">
        <v>216</v>
      </c>
      <c r="D387" s="21">
        <v>216</v>
      </c>
      <c r="E387" s="21">
        <v>216</v>
      </c>
      <c r="F387" s="21">
        <v>216</v>
      </c>
      <c r="G387" s="21">
        <v>216</v>
      </c>
      <c r="H387" s="21">
        <v>216</v>
      </c>
      <c r="I387" s="21">
        <v>216</v>
      </c>
      <c r="J387" s="21">
        <v>216</v>
      </c>
      <c r="K387" s="21">
        <v>216</v>
      </c>
      <c r="L387" s="21">
        <v>216</v>
      </c>
      <c r="M387" s="21">
        <v>216</v>
      </c>
      <c r="N387" s="21">
        <v>216</v>
      </c>
      <c r="O387" s="21">
        <v>216</v>
      </c>
      <c r="P387" s="21">
        <v>216</v>
      </c>
      <c r="Q387" s="21">
        <v>216</v>
      </c>
      <c r="R387" s="21">
        <v>216</v>
      </c>
      <c r="S387" s="21">
        <v>216</v>
      </c>
      <c r="T387" s="21">
        <v>216</v>
      </c>
      <c r="U387" s="21">
        <v>216</v>
      </c>
      <c r="V387" s="21">
        <v>216</v>
      </c>
      <c r="W387" s="21">
        <v>216</v>
      </c>
      <c r="X387" s="21">
        <v>216</v>
      </c>
      <c r="Y387" s="21">
        <v>216</v>
      </c>
      <c r="Z387" s="21">
        <v>216</v>
      </c>
      <c r="AA387" s="21">
        <v>216</v>
      </c>
      <c r="AB387" s="22">
        <v>216</v>
      </c>
      <c r="AC387" s="2"/>
    </row>
    <row r="388" spans="1:29" ht="34.5" x14ac:dyDescent="0.35">
      <c r="A388" s="18" t="s">
        <v>128</v>
      </c>
      <c r="B388" s="14" t="s">
        <v>21</v>
      </c>
      <c r="C388" s="23" t="s">
        <v>233</v>
      </c>
      <c r="D388" s="16">
        <v>4.8783095830697495E-2</v>
      </c>
      <c r="E388" s="16">
        <v>0.12494352787560822</v>
      </c>
      <c r="F388" s="16">
        <v>-9.3647014613132018E-2</v>
      </c>
      <c r="G388" s="25" t="s">
        <v>195</v>
      </c>
      <c r="H388" s="16">
        <v>6.8545713399402797E-2</v>
      </c>
      <c r="I388" s="25" t="s">
        <v>551</v>
      </c>
      <c r="J388" s="25" t="s">
        <v>291</v>
      </c>
      <c r="K388" s="25" t="s">
        <v>552</v>
      </c>
      <c r="L388" s="25" t="s">
        <v>421</v>
      </c>
      <c r="M388" s="16">
        <v>-2.6226341398019201E-2</v>
      </c>
      <c r="N388" s="25" t="s">
        <v>292</v>
      </c>
      <c r="O388" s="25" t="s">
        <v>524</v>
      </c>
      <c r="P388" s="25" t="s">
        <v>254</v>
      </c>
      <c r="Q388" s="25" t="s">
        <v>246</v>
      </c>
      <c r="R388" s="16">
        <v>0.1195674997711178</v>
      </c>
      <c r="S388" s="16">
        <v>7.2367867023220345E-2</v>
      </c>
      <c r="T388" s="25" t="s">
        <v>293</v>
      </c>
      <c r="U388" s="25" t="s">
        <v>560</v>
      </c>
      <c r="V388" s="25" t="s">
        <v>390</v>
      </c>
      <c r="W388" s="16">
        <v>-7.4712232506366244E-2</v>
      </c>
      <c r="X388" s="25" t="s">
        <v>397</v>
      </c>
      <c r="Y388" s="25" t="s">
        <v>195</v>
      </c>
      <c r="Z388" s="25" t="s">
        <v>149</v>
      </c>
      <c r="AA388" s="24">
        <v>1</v>
      </c>
      <c r="AB388" s="26" t="s">
        <v>553</v>
      </c>
      <c r="AC388" s="2"/>
    </row>
    <row r="389" spans="1:29" ht="23" x14ac:dyDescent="0.35">
      <c r="A389" s="13"/>
      <c r="B389" s="14" t="s">
        <v>22</v>
      </c>
      <c r="C389" s="27">
        <v>1.1738976501078984E-3</v>
      </c>
      <c r="D389" s="16">
        <v>0.4757054462535435</v>
      </c>
      <c r="E389" s="16">
        <v>6.6829211714251588E-2</v>
      </c>
      <c r="F389" s="16">
        <v>0.17026469814627379</v>
      </c>
      <c r="G389" s="16">
        <v>2.2934388905716956E-2</v>
      </c>
      <c r="H389" s="16">
        <v>0.31598316896829459</v>
      </c>
      <c r="I389" s="16">
        <v>1.9661064457736643E-13</v>
      </c>
      <c r="J389" s="16">
        <v>6.0154792015594294E-6</v>
      </c>
      <c r="K389" s="16">
        <v>4.8497085928116558E-2</v>
      </c>
      <c r="L389" s="16">
        <v>3.0366640676130544E-7</v>
      </c>
      <c r="M389" s="16">
        <v>0.70151490343610345</v>
      </c>
      <c r="N389" s="16">
        <v>5.1121678265636768E-3</v>
      </c>
      <c r="O389" s="16">
        <v>4.216389570914023E-5</v>
      </c>
      <c r="P389" s="16">
        <v>2.265273928132336E-7</v>
      </c>
      <c r="Q389" s="16">
        <v>2.4534437395696805E-6</v>
      </c>
      <c r="R389" s="16">
        <v>7.9537645363225856E-2</v>
      </c>
      <c r="S389" s="16">
        <v>0.28968925903208936</v>
      </c>
      <c r="T389" s="16">
        <v>1.6171155820760273E-3</v>
      </c>
      <c r="U389" s="16">
        <v>1.3051924752202082E-103</v>
      </c>
      <c r="V389" s="16">
        <v>1.5482861277234809E-3</v>
      </c>
      <c r="W389" s="16">
        <v>0.27430674115551573</v>
      </c>
      <c r="X389" s="16">
        <v>1.4011960989152914E-4</v>
      </c>
      <c r="Y389" s="16">
        <v>2.2499303742992242E-2</v>
      </c>
      <c r="Z389" s="16">
        <v>4.8837974834977481E-7</v>
      </c>
      <c r="AA389" s="28"/>
      <c r="AB389" s="17">
        <v>2.6290198331013921E-14</v>
      </c>
      <c r="AC389" s="2"/>
    </row>
    <row r="390" spans="1:29" x14ac:dyDescent="0.35">
      <c r="A390" s="18"/>
      <c r="B390" s="19" t="s">
        <v>23</v>
      </c>
      <c r="C390" s="20">
        <v>216</v>
      </c>
      <c r="D390" s="21">
        <v>216</v>
      </c>
      <c r="E390" s="21">
        <v>216</v>
      </c>
      <c r="F390" s="21">
        <v>216</v>
      </c>
      <c r="G390" s="21">
        <v>216</v>
      </c>
      <c r="H390" s="21">
        <v>216</v>
      </c>
      <c r="I390" s="21">
        <v>216</v>
      </c>
      <c r="J390" s="21">
        <v>216</v>
      </c>
      <c r="K390" s="21">
        <v>216</v>
      </c>
      <c r="L390" s="21">
        <v>216</v>
      </c>
      <c r="M390" s="21">
        <v>216</v>
      </c>
      <c r="N390" s="21">
        <v>216</v>
      </c>
      <c r="O390" s="21">
        <v>216</v>
      </c>
      <c r="P390" s="21">
        <v>216</v>
      </c>
      <c r="Q390" s="21">
        <v>216</v>
      </c>
      <c r="R390" s="21">
        <v>216</v>
      </c>
      <c r="S390" s="21">
        <v>216</v>
      </c>
      <c r="T390" s="21">
        <v>216</v>
      </c>
      <c r="U390" s="21">
        <v>216</v>
      </c>
      <c r="V390" s="21">
        <v>216</v>
      </c>
      <c r="W390" s="21">
        <v>216</v>
      </c>
      <c r="X390" s="21">
        <v>216</v>
      </c>
      <c r="Y390" s="21">
        <v>216</v>
      </c>
      <c r="Z390" s="21">
        <v>216</v>
      </c>
      <c r="AA390" s="21">
        <v>216</v>
      </c>
      <c r="AB390" s="22">
        <v>216</v>
      </c>
      <c r="AC390" s="2"/>
    </row>
    <row r="391" spans="1:29" ht="34.5" x14ac:dyDescent="0.35">
      <c r="A391" s="18" t="s">
        <v>129</v>
      </c>
      <c r="B391" s="14" t="s">
        <v>21</v>
      </c>
      <c r="C391" s="23" t="s">
        <v>435</v>
      </c>
      <c r="D391" s="25" t="s">
        <v>276</v>
      </c>
      <c r="E391" s="25" t="s">
        <v>553</v>
      </c>
      <c r="F391" s="25" t="s">
        <v>324</v>
      </c>
      <c r="G391" s="25" t="s">
        <v>554</v>
      </c>
      <c r="H391" s="25" t="s">
        <v>555</v>
      </c>
      <c r="I391" s="25" t="s">
        <v>356</v>
      </c>
      <c r="J391" s="25" t="s">
        <v>347</v>
      </c>
      <c r="K391" s="25" t="s">
        <v>306</v>
      </c>
      <c r="L391" s="25" t="s">
        <v>274</v>
      </c>
      <c r="M391" s="25" t="s">
        <v>405</v>
      </c>
      <c r="N391" s="25" t="s">
        <v>556</v>
      </c>
      <c r="O391" s="25" t="s">
        <v>290</v>
      </c>
      <c r="P391" s="25" t="s">
        <v>490</v>
      </c>
      <c r="Q391" s="25" t="s">
        <v>284</v>
      </c>
      <c r="R391" s="25" t="s">
        <v>557</v>
      </c>
      <c r="S391" s="25" t="s">
        <v>496</v>
      </c>
      <c r="T391" s="25" t="s">
        <v>168</v>
      </c>
      <c r="U391" s="25" t="s">
        <v>561</v>
      </c>
      <c r="V391" s="25" t="s">
        <v>562</v>
      </c>
      <c r="W391" s="25" t="s">
        <v>489</v>
      </c>
      <c r="X391" s="25" t="s">
        <v>563</v>
      </c>
      <c r="Y391" s="25" t="s">
        <v>402</v>
      </c>
      <c r="Z391" s="25" t="s">
        <v>242</v>
      </c>
      <c r="AA391" s="25" t="s">
        <v>553</v>
      </c>
      <c r="AB391" s="29">
        <v>1</v>
      </c>
      <c r="AC391" s="2"/>
    </row>
    <row r="392" spans="1:29" ht="23" x14ac:dyDescent="0.35">
      <c r="A392" s="13"/>
      <c r="B392" s="14" t="s">
        <v>22</v>
      </c>
      <c r="C392" s="27">
        <v>5.3464670452480775E-14</v>
      </c>
      <c r="D392" s="16">
        <v>1.9778029807270359E-12</v>
      </c>
      <c r="E392" s="16">
        <v>2.4375073573447027E-14</v>
      </c>
      <c r="F392" s="16">
        <v>7.8431490480436482E-9</v>
      </c>
      <c r="G392" s="16">
        <v>7.5775299925195665E-20</v>
      </c>
      <c r="H392" s="16">
        <v>3.5802542758583297E-10</v>
      </c>
      <c r="I392" s="16">
        <v>8.1378796509482317E-22</v>
      </c>
      <c r="J392" s="16">
        <v>1.4896249370969842E-15</v>
      </c>
      <c r="K392" s="16">
        <v>1.0460719133979247E-9</v>
      </c>
      <c r="L392" s="16">
        <v>2.2650812897358522E-15</v>
      </c>
      <c r="M392" s="16">
        <v>4.9419474387253888E-8</v>
      </c>
      <c r="N392" s="16">
        <v>2.7094176940058449E-17</v>
      </c>
      <c r="O392" s="16">
        <v>6.7814126413644507E-19</v>
      </c>
      <c r="P392" s="16">
        <v>1.2011976452410652E-18</v>
      </c>
      <c r="Q392" s="16">
        <v>9.8134851228473352E-15</v>
      </c>
      <c r="R392" s="16">
        <v>4.8759113494875532E-17</v>
      </c>
      <c r="S392" s="16">
        <v>3.9098896961934072E-12</v>
      </c>
      <c r="T392" s="16">
        <v>1.6199202353253986E-11</v>
      </c>
      <c r="U392" s="16">
        <v>8.0689693135154523E-14</v>
      </c>
      <c r="V392" s="16">
        <v>6.2812239494007949E-35</v>
      </c>
      <c r="W392" s="16">
        <v>5.7877502151583809E-9</v>
      </c>
      <c r="X392" s="16">
        <v>1.0742444544077284E-16</v>
      </c>
      <c r="Y392" s="16">
        <v>1.4786919153673864E-12</v>
      </c>
      <c r="Z392" s="16">
        <v>3.4135666289904017E-18</v>
      </c>
      <c r="AA392" s="16">
        <v>2.6290198331013921E-14</v>
      </c>
      <c r="AB392" s="30"/>
      <c r="AC392" s="2"/>
    </row>
    <row r="393" spans="1:29" x14ac:dyDescent="0.35">
      <c r="A393" s="31"/>
      <c r="B393" s="32" t="s">
        <v>23</v>
      </c>
      <c r="C393" s="33">
        <v>216</v>
      </c>
      <c r="D393" s="34">
        <v>216</v>
      </c>
      <c r="E393" s="34">
        <v>216</v>
      </c>
      <c r="F393" s="34">
        <v>216</v>
      </c>
      <c r="G393" s="34">
        <v>216</v>
      </c>
      <c r="H393" s="34">
        <v>216</v>
      </c>
      <c r="I393" s="34">
        <v>216</v>
      </c>
      <c r="J393" s="34">
        <v>216</v>
      </c>
      <c r="K393" s="34">
        <v>216</v>
      </c>
      <c r="L393" s="34">
        <v>216</v>
      </c>
      <c r="M393" s="34">
        <v>216</v>
      </c>
      <c r="N393" s="34">
        <v>216</v>
      </c>
      <c r="O393" s="34">
        <v>216</v>
      </c>
      <c r="P393" s="34">
        <v>216</v>
      </c>
      <c r="Q393" s="34">
        <v>216</v>
      </c>
      <c r="R393" s="34">
        <v>216</v>
      </c>
      <c r="S393" s="34">
        <v>216</v>
      </c>
      <c r="T393" s="34">
        <v>216</v>
      </c>
      <c r="U393" s="34">
        <v>216</v>
      </c>
      <c r="V393" s="34">
        <v>216</v>
      </c>
      <c r="W393" s="34">
        <v>216</v>
      </c>
      <c r="X393" s="34">
        <v>216</v>
      </c>
      <c r="Y393" s="34">
        <v>216</v>
      </c>
      <c r="Z393" s="34">
        <v>216</v>
      </c>
      <c r="AA393" s="34">
        <v>216</v>
      </c>
      <c r="AB393" s="35">
        <v>216</v>
      </c>
      <c r="AC393" s="2"/>
    </row>
    <row r="394" spans="1:29" x14ac:dyDescent="0.35">
      <c r="A394" s="36" t="s">
        <v>24</v>
      </c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2"/>
    </row>
    <row r="395" spans="1:29" x14ac:dyDescent="0.35">
      <c r="A395" s="36" t="s">
        <v>25</v>
      </c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2"/>
    </row>
  </sheetData>
  <mergeCells count="146">
    <mergeCell ref="A394:AB394"/>
    <mergeCell ref="A395:AB395"/>
    <mergeCell ref="A376:A378"/>
    <mergeCell ref="A379:A381"/>
    <mergeCell ref="A382:A384"/>
    <mergeCell ref="A385:A387"/>
    <mergeCell ref="A388:A390"/>
    <mergeCell ref="A391:A393"/>
    <mergeCell ref="A358:A360"/>
    <mergeCell ref="A361:A363"/>
    <mergeCell ref="A364:A366"/>
    <mergeCell ref="A367:A369"/>
    <mergeCell ref="A370:A372"/>
    <mergeCell ref="A373:A375"/>
    <mergeCell ref="A340:A342"/>
    <mergeCell ref="A343:A345"/>
    <mergeCell ref="A346:A348"/>
    <mergeCell ref="A349:A351"/>
    <mergeCell ref="A352:A354"/>
    <mergeCell ref="A355:A357"/>
    <mergeCell ref="A322:A324"/>
    <mergeCell ref="A325:A327"/>
    <mergeCell ref="A328:A330"/>
    <mergeCell ref="A331:A333"/>
    <mergeCell ref="A334:A336"/>
    <mergeCell ref="A337:A339"/>
    <mergeCell ref="A311:U311"/>
    <mergeCell ref="A312:U312"/>
    <mergeCell ref="A314:AB314"/>
    <mergeCell ref="A315:B315"/>
    <mergeCell ref="A316:A318"/>
    <mergeCell ref="A319:A321"/>
    <mergeCell ref="A293:A295"/>
    <mergeCell ref="A296:A298"/>
    <mergeCell ref="A299:A301"/>
    <mergeCell ref="A302:A304"/>
    <mergeCell ref="A305:A307"/>
    <mergeCell ref="A308:A310"/>
    <mergeCell ref="A275:A277"/>
    <mergeCell ref="A278:A280"/>
    <mergeCell ref="A281:A283"/>
    <mergeCell ref="A284:A286"/>
    <mergeCell ref="A287:A289"/>
    <mergeCell ref="A290:A292"/>
    <mergeCell ref="A257:A259"/>
    <mergeCell ref="A260:A262"/>
    <mergeCell ref="A263:A265"/>
    <mergeCell ref="A266:A268"/>
    <mergeCell ref="A269:A271"/>
    <mergeCell ref="A272:A274"/>
    <mergeCell ref="A246:A248"/>
    <mergeCell ref="A249:T249"/>
    <mergeCell ref="A250:T250"/>
    <mergeCell ref="A252:U252"/>
    <mergeCell ref="A253:B253"/>
    <mergeCell ref="A254:A256"/>
    <mergeCell ref="A228:A230"/>
    <mergeCell ref="A231:A233"/>
    <mergeCell ref="A234:A236"/>
    <mergeCell ref="A237:A239"/>
    <mergeCell ref="A240:A242"/>
    <mergeCell ref="A243:A245"/>
    <mergeCell ref="A210:A212"/>
    <mergeCell ref="A213:A215"/>
    <mergeCell ref="A216:A218"/>
    <mergeCell ref="A219:A221"/>
    <mergeCell ref="A222:A224"/>
    <mergeCell ref="A225:A227"/>
    <mergeCell ref="A194:B194"/>
    <mergeCell ref="A195:A197"/>
    <mergeCell ref="A198:A200"/>
    <mergeCell ref="A201:A203"/>
    <mergeCell ref="A204:A206"/>
    <mergeCell ref="A207:A209"/>
    <mergeCell ref="A181:A183"/>
    <mergeCell ref="A184:A186"/>
    <mergeCell ref="A187:A189"/>
    <mergeCell ref="A190:W190"/>
    <mergeCell ref="A191:W191"/>
    <mergeCell ref="A193:T193"/>
    <mergeCell ref="A163:A165"/>
    <mergeCell ref="A166:A168"/>
    <mergeCell ref="A169:A171"/>
    <mergeCell ref="A172:A174"/>
    <mergeCell ref="A175:A177"/>
    <mergeCell ref="A178:A180"/>
    <mergeCell ref="A145:A147"/>
    <mergeCell ref="A148:A150"/>
    <mergeCell ref="A151:A153"/>
    <mergeCell ref="A154:A156"/>
    <mergeCell ref="A157:A159"/>
    <mergeCell ref="A160:A162"/>
    <mergeCell ref="A127:A129"/>
    <mergeCell ref="A130:A132"/>
    <mergeCell ref="A133:A135"/>
    <mergeCell ref="A136:A138"/>
    <mergeCell ref="A139:A141"/>
    <mergeCell ref="A142:A144"/>
    <mergeCell ref="A116:A118"/>
    <mergeCell ref="A119:A121"/>
    <mergeCell ref="A122:V122"/>
    <mergeCell ref="A123:V123"/>
    <mergeCell ref="A125:W125"/>
    <mergeCell ref="A126:B126"/>
    <mergeCell ref="A98:A100"/>
    <mergeCell ref="A101:A103"/>
    <mergeCell ref="A104:A106"/>
    <mergeCell ref="A107:A109"/>
    <mergeCell ref="A110:A112"/>
    <mergeCell ref="A113:A115"/>
    <mergeCell ref="A80:A82"/>
    <mergeCell ref="A83:A85"/>
    <mergeCell ref="A86:A88"/>
    <mergeCell ref="A89:A91"/>
    <mergeCell ref="A92:A94"/>
    <mergeCell ref="A95:A97"/>
    <mergeCell ref="A62:A64"/>
    <mergeCell ref="A65:A67"/>
    <mergeCell ref="A68:A70"/>
    <mergeCell ref="A71:A73"/>
    <mergeCell ref="A74:A76"/>
    <mergeCell ref="A77:A79"/>
    <mergeCell ref="A51:A53"/>
    <mergeCell ref="A54:A56"/>
    <mergeCell ref="A57:T57"/>
    <mergeCell ref="A58:T58"/>
    <mergeCell ref="A60:V60"/>
    <mergeCell ref="A61:B61"/>
    <mergeCell ref="A33:A35"/>
    <mergeCell ref="A36:A38"/>
    <mergeCell ref="A39:A41"/>
    <mergeCell ref="A42:A44"/>
    <mergeCell ref="A45:A47"/>
    <mergeCell ref="A48:A50"/>
    <mergeCell ref="A15:A17"/>
    <mergeCell ref="A18:A20"/>
    <mergeCell ref="A21:A23"/>
    <mergeCell ref="A24:A26"/>
    <mergeCell ref="A27:A29"/>
    <mergeCell ref="A30:A32"/>
    <mergeCell ref="A1:T1"/>
    <mergeCell ref="A2:B2"/>
    <mergeCell ref="A3:A5"/>
    <mergeCell ref="A6:A8"/>
    <mergeCell ref="A9:A11"/>
    <mergeCell ref="A12:A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89062-B923-4711-B17F-8DF6F8080F98}">
  <dimension ref="A1:AC26"/>
  <sheetViews>
    <sheetView topLeftCell="X9" workbookViewId="0">
      <selection activeCell="Z1" sqref="Z1:AC26"/>
    </sheetView>
  </sheetViews>
  <sheetFormatPr defaultRowHeight="14" x14ac:dyDescent="0.35"/>
  <cols>
    <col min="1" max="1" width="8.26953125" style="47" bestFit="1" customWidth="1"/>
    <col min="2" max="2" width="16" style="47" bestFit="1" customWidth="1"/>
    <col min="3" max="3" width="13.26953125" style="47" bestFit="1" customWidth="1"/>
    <col min="4" max="4" width="10.81640625" style="47" bestFit="1" customWidth="1"/>
    <col min="5" max="5" width="8.7265625" style="47"/>
    <col min="6" max="6" width="8.26953125" style="47" bestFit="1" customWidth="1"/>
    <col min="7" max="7" width="16" style="47" bestFit="1" customWidth="1"/>
    <col min="8" max="8" width="13.26953125" style="47" bestFit="1" customWidth="1"/>
    <col min="9" max="9" width="10.81640625" style="47" bestFit="1" customWidth="1"/>
    <col min="10" max="10" width="8.7265625" style="47"/>
    <col min="11" max="11" width="8.26953125" style="47" bestFit="1" customWidth="1"/>
    <col min="12" max="12" width="16" style="47" bestFit="1" customWidth="1"/>
    <col min="13" max="13" width="13.26953125" style="47" bestFit="1" customWidth="1"/>
    <col min="14" max="14" width="10.81640625" style="47" bestFit="1" customWidth="1"/>
    <col min="15" max="15" width="8.7265625" style="47"/>
    <col min="16" max="16" width="8.26953125" style="47" bestFit="1" customWidth="1"/>
    <col min="17" max="17" width="16" style="47" bestFit="1" customWidth="1"/>
    <col min="18" max="18" width="13.26953125" style="47" bestFit="1" customWidth="1"/>
    <col min="19" max="19" width="10.81640625" style="47" bestFit="1" customWidth="1"/>
    <col min="20" max="20" width="8.7265625" style="47"/>
    <col min="21" max="21" width="8.26953125" style="47" bestFit="1" customWidth="1"/>
    <col min="22" max="22" width="16" style="47" bestFit="1" customWidth="1"/>
    <col min="23" max="23" width="13.26953125" style="47" bestFit="1" customWidth="1"/>
    <col min="24" max="24" width="10.81640625" style="47" bestFit="1" customWidth="1"/>
    <col min="25" max="25" width="8.7265625" style="47"/>
    <col min="26" max="26" width="8.26953125" style="47" bestFit="1" customWidth="1"/>
    <col min="27" max="27" width="16" style="47" bestFit="1" customWidth="1"/>
    <col min="28" max="28" width="13.26953125" style="47" bestFit="1" customWidth="1"/>
    <col min="29" max="29" width="10.81640625" style="47" bestFit="1" customWidth="1"/>
    <col min="30" max="16384" width="8.7265625" style="47"/>
  </cols>
  <sheetData>
    <row r="1" spans="1:29" x14ac:dyDescent="0.35">
      <c r="A1" s="46" t="s">
        <v>0</v>
      </c>
      <c r="B1" s="46" t="s">
        <v>130</v>
      </c>
      <c r="C1" s="46" t="s">
        <v>131</v>
      </c>
      <c r="D1" s="46" t="s">
        <v>132</v>
      </c>
      <c r="F1" s="46" t="s">
        <v>0</v>
      </c>
      <c r="G1" s="46" t="s">
        <v>130</v>
      </c>
      <c r="H1" s="46" t="s">
        <v>131</v>
      </c>
      <c r="I1" s="46" t="s">
        <v>132</v>
      </c>
      <c r="K1" s="46" t="s">
        <v>0</v>
      </c>
      <c r="L1" s="46" t="s">
        <v>130</v>
      </c>
      <c r="M1" s="46" t="s">
        <v>131</v>
      </c>
      <c r="N1" s="46" t="s">
        <v>132</v>
      </c>
      <c r="P1" s="46" t="s">
        <v>0</v>
      </c>
      <c r="Q1" s="46" t="s">
        <v>130</v>
      </c>
      <c r="R1" s="46" t="s">
        <v>131</v>
      </c>
      <c r="S1" s="46" t="s">
        <v>132</v>
      </c>
      <c r="U1" s="46" t="s">
        <v>0</v>
      </c>
      <c r="V1" s="46" t="s">
        <v>130</v>
      </c>
      <c r="W1" s="46" t="s">
        <v>131</v>
      </c>
      <c r="X1" s="46" t="s">
        <v>132</v>
      </c>
      <c r="Z1" s="46" t="s">
        <v>0</v>
      </c>
      <c r="AA1" s="46" t="s">
        <v>130</v>
      </c>
      <c r="AB1" s="46" t="s">
        <v>131</v>
      </c>
      <c r="AC1" s="46" t="s">
        <v>132</v>
      </c>
    </row>
    <row r="2" spans="1:29" x14ac:dyDescent="0.35">
      <c r="A2" s="46" t="s">
        <v>3</v>
      </c>
      <c r="B2" s="46" t="s">
        <v>148</v>
      </c>
      <c r="C2" s="46">
        <v>6.614333271255473E-27</v>
      </c>
      <c r="D2" s="46" t="s">
        <v>564</v>
      </c>
      <c r="F2" s="46" t="s">
        <v>26</v>
      </c>
      <c r="G2" s="46" t="s">
        <v>284</v>
      </c>
      <c r="H2" s="46">
        <v>1.0011144397499226E-14</v>
      </c>
      <c r="I2" s="46" t="s">
        <v>564</v>
      </c>
      <c r="K2" s="46" t="s">
        <v>46</v>
      </c>
      <c r="L2" s="46" t="s">
        <v>434</v>
      </c>
      <c r="M2" s="46">
        <v>5.6023460721742724E-22</v>
      </c>
      <c r="N2" s="46" t="s">
        <v>564</v>
      </c>
      <c r="P2" s="46" t="s">
        <v>67</v>
      </c>
      <c r="Q2" s="46" t="s">
        <v>285</v>
      </c>
      <c r="R2" s="46">
        <v>2.7677770660852225E-15</v>
      </c>
      <c r="S2" s="46" t="s">
        <v>564</v>
      </c>
      <c r="U2" s="46" t="s">
        <v>85</v>
      </c>
      <c r="V2" s="46" t="s">
        <v>213</v>
      </c>
      <c r="W2" s="46">
        <v>5.2445908153520141E-9</v>
      </c>
      <c r="X2" s="46" t="s">
        <v>564</v>
      </c>
      <c r="Z2" s="46" t="s">
        <v>104</v>
      </c>
      <c r="AA2" s="46" t="s">
        <v>435</v>
      </c>
      <c r="AB2" s="46">
        <v>5.3464670452480775E-14</v>
      </c>
      <c r="AC2" s="46" t="s">
        <v>564</v>
      </c>
    </row>
    <row r="3" spans="1:29" x14ac:dyDescent="0.35">
      <c r="A3" s="46" t="s">
        <v>4</v>
      </c>
      <c r="B3" s="46" t="s">
        <v>157</v>
      </c>
      <c r="C3" s="46">
        <v>2.8148744051184013E-10</v>
      </c>
      <c r="D3" s="46" t="s">
        <v>564</v>
      </c>
      <c r="F3" s="46" t="s">
        <v>27</v>
      </c>
      <c r="G3" s="46" t="s">
        <v>357</v>
      </c>
      <c r="H3" s="46">
        <v>2.5641558119804221E-26</v>
      </c>
      <c r="I3" s="46" t="s">
        <v>564</v>
      </c>
      <c r="K3" s="46" t="s">
        <v>47</v>
      </c>
      <c r="L3" s="46" t="s">
        <v>435</v>
      </c>
      <c r="M3" s="46">
        <v>4.8880999614241892E-14</v>
      </c>
      <c r="N3" s="46" t="s">
        <v>564</v>
      </c>
      <c r="P3" s="46" t="s">
        <v>68</v>
      </c>
      <c r="Q3" s="46" t="s">
        <v>451</v>
      </c>
      <c r="R3" s="46">
        <v>9.9912300781073355E-24</v>
      </c>
      <c r="S3" s="46" t="s">
        <v>564</v>
      </c>
      <c r="U3" s="46" t="s">
        <v>86</v>
      </c>
      <c r="V3" s="46" t="s">
        <v>513</v>
      </c>
      <c r="W3" s="46">
        <v>5.8111118223969853E-17</v>
      </c>
      <c r="X3" s="46" t="s">
        <v>564</v>
      </c>
      <c r="Z3" s="46" t="s">
        <v>105</v>
      </c>
      <c r="AA3" s="46" t="s">
        <v>276</v>
      </c>
      <c r="AB3" s="46">
        <v>1.9778029807270359E-12</v>
      </c>
      <c r="AC3" s="46" t="s">
        <v>564</v>
      </c>
    </row>
    <row r="4" spans="1:29" x14ac:dyDescent="0.35">
      <c r="A4" s="46" t="s">
        <v>5</v>
      </c>
      <c r="B4" s="46" t="s">
        <v>167</v>
      </c>
      <c r="C4" s="46">
        <v>6.2408747745384285E-21</v>
      </c>
      <c r="D4" s="46" t="s">
        <v>564</v>
      </c>
      <c r="F4" s="46" t="s">
        <v>28</v>
      </c>
      <c r="G4" s="46" t="s">
        <v>358</v>
      </c>
      <c r="H4" s="46">
        <v>2.4140756877327726E-35</v>
      </c>
      <c r="I4" s="46" t="s">
        <v>564</v>
      </c>
      <c r="K4" s="46" t="s">
        <v>48</v>
      </c>
      <c r="L4" s="46" t="s">
        <v>290</v>
      </c>
      <c r="M4" s="46">
        <v>6.0397042629561627E-19</v>
      </c>
      <c r="N4" s="46" t="s">
        <v>564</v>
      </c>
      <c r="P4" s="46" t="s">
        <v>69</v>
      </c>
      <c r="Q4" s="46" t="s">
        <v>319</v>
      </c>
      <c r="R4" s="46">
        <v>3.7435885437612534E-13</v>
      </c>
      <c r="S4" s="46" t="s">
        <v>564</v>
      </c>
      <c r="U4" s="46" t="s">
        <v>87</v>
      </c>
      <c r="V4" s="46" t="s">
        <v>514</v>
      </c>
      <c r="W4" s="46">
        <v>3.4002103342461787E-24</v>
      </c>
      <c r="X4" s="46" t="s">
        <v>564</v>
      </c>
      <c r="Z4" s="46" t="s">
        <v>106</v>
      </c>
      <c r="AA4" s="46" t="s">
        <v>553</v>
      </c>
      <c r="AB4" s="46">
        <v>2.4375073573447027E-14</v>
      </c>
      <c r="AC4" s="46" t="s">
        <v>564</v>
      </c>
    </row>
    <row r="5" spans="1:29" x14ac:dyDescent="0.35">
      <c r="A5" s="46" t="s">
        <v>6</v>
      </c>
      <c r="B5" s="46" t="s">
        <v>175</v>
      </c>
      <c r="C5" s="46">
        <v>3.4695435307394808E-26</v>
      </c>
      <c r="D5" s="46" t="s">
        <v>564</v>
      </c>
      <c r="F5" s="46" t="s">
        <v>29</v>
      </c>
      <c r="G5" s="46" t="s">
        <v>359</v>
      </c>
      <c r="H5" s="46">
        <v>2.1763105004788542E-21</v>
      </c>
      <c r="I5" s="46" t="s">
        <v>564</v>
      </c>
      <c r="K5" s="46" t="s">
        <v>49</v>
      </c>
      <c r="L5" s="46" t="s">
        <v>436</v>
      </c>
      <c r="M5" s="46">
        <v>2.2984924806364548E-26</v>
      </c>
      <c r="N5" s="46" t="s">
        <v>564</v>
      </c>
      <c r="P5" s="46" t="s">
        <v>70</v>
      </c>
      <c r="Q5" s="46" t="s">
        <v>285</v>
      </c>
      <c r="R5" s="46">
        <v>2.8909838087642912E-15</v>
      </c>
      <c r="S5" s="46" t="s">
        <v>564</v>
      </c>
      <c r="U5" s="46" t="s">
        <v>88</v>
      </c>
      <c r="V5" s="46" t="s">
        <v>515</v>
      </c>
      <c r="W5" s="46">
        <v>4.0164019672970612E-19</v>
      </c>
      <c r="X5" s="46" t="s">
        <v>564</v>
      </c>
      <c r="Z5" s="46" t="s">
        <v>107</v>
      </c>
      <c r="AA5" s="46" t="s">
        <v>324</v>
      </c>
      <c r="AB5" s="46">
        <v>7.8431490480436482E-9</v>
      </c>
      <c r="AC5" s="46" t="s">
        <v>564</v>
      </c>
    </row>
    <row r="6" spans="1:29" x14ac:dyDescent="0.35">
      <c r="A6" s="46" t="s">
        <v>7</v>
      </c>
      <c r="B6" s="46" t="s">
        <v>187</v>
      </c>
      <c r="C6" s="46">
        <v>1.1922052549109607E-25</v>
      </c>
      <c r="D6" s="46" t="s">
        <v>564</v>
      </c>
      <c r="F6" s="46" t="s">
        <v>30</v>
      </c>
      <c r="G6" s="46" t="s">
        <v>360</v>
      </c>
      <c r="H6" s="46">
        <v>3.04810857565157E-30</v>
      </c>
      <c r="I6" s="46" t="s">
        <v>564</v>
      </c>
      <c r="K6" s="46" t="s">
        <v>50</v>
      </c>
      <c r="L6" s="46" t="s">
        <v>437</v>
      </c>
      <c r="M6" s="46">
        <v>4.6670344888759397E-14</v>
      </c>
      <c r="N6" s="46" t="s">
        <v>564</v>
      </c>
      <c r="P6" s="46" t="s">
        <v>71</v>
      </c>
      <c r="Q6" s="46" t="s">
        <v>459</v>
      </c>
      <c r="R6" s="46">
        <v>2.0481970537225054E-15</v>
      </c>
      <c r="S6" s="46" t="s">
        <v>564</v>
      </c>
      <c r="U6" s="46" t="s">
        <v>89</v>
      </c>
      <c r="V6" s="46" t="s">
        <v>516</v>
      </c>
      <c r="W6" s="46">
        <v>1.976642897346248E-20</v>
      </c>
      <c r="X6" s="46" t="s">
        <v>564</v>
      </c>
      <c r="Z6" s="46" t="s">
        <v>108</v>
      </c>
      <c r="AA6" s="46" t="s">
        <v>554</v>
      </c>
      <c r="AB6" s="46">
        <v>7.5775299925195665E-20</v>
      </c>
      <c r="AC6" s="46" t="s">
        <v>564</v>
      </c>
    </row>
    <row r="7" spans="1:29" x14ac:dyDescent="0.35">
      <c r="A7" s="46" t="s">
        <v>8</v>
      </c>
      <c r="B7" s="46" t="s">
        <v>198</v>
      </c>
      <c r="C7" s="46">
        <v>4.348740522458662E-28</v>
      </c>
      <c r="D7" s="46" t="s">
        <v>564</v>
      </c>
      <c r="F7" s="46" t="s">
        <v>31</v>
      </c>
      <c r="G7" s="46" t="s">
        <v>299</v>
      </c>
      <c r="H7" s="46">
        <v>4.9079048942835872E-19</v>
      </c>
      <c r="I7" s="46" t="s">
        <v>564</v>
      </c>
      <c r="K7" s="46" t="s">
        <v>51</v>
      </c>
      <c r="L7" s="46" t="s">
        <v>289</v>
      </c>
      <c r="M7" s="46">
        <v>8.296568461311183E-18</v>
      </c>
      <c r="N7" s="46" t="s">
        <v>564</v>
      </c>
      <c r="P7" s="46" t="s">
        <v>72</v>
      </c>
      <c r="Q7" s="46" t="s">
        <v>463</v>
      </c>
      <c r="R7" s="46">
        <v>2.2763638467314514E-16</v>
      </c>
      <c r="S7" s="46" t="s">
        <v>564</v>
      </c>
      <c r="U7" s="46" t="s">
        <v>90</v>
      </c>
      <c r="V7" s="46" t="s">
        <v>437</v>
      </c>
      <c r="W7" s="46">
        <v>4.6014604044345761E-14</v>
      </c>
      <c r="X7" s="46" t="s">
        <v>564</v>
      </c>
      <c r="Z7" s="46" t="s">
        <v>109</v>
      </c>
      <c r="AA7" s="46" t="s">
        <v>555</v>
      </c>
      <c r="AB7" s="46">
        <v>3.5802542758583297E-10</v>
      </c>
      <c r="AC7" s="46" t="s">
        <v>564</v>
      </c>
    </row>
    <row r="8" spans="1:29" x14ac:dyDescent="0.35">
      <c r="A8" s="46" t="s">
        <v>9</v>
      </c>
      <c r="B8" s="46" t="s">
        <v>207</v>
      </c>
      <c r="C8" s="46">
        <v>3.6644216076482962E-27</v>
      </c>
      <c r="D8" s="46" t="s">
        <v>564</v>
      </c>
      <c r="F8" s="46" t="s">
        <v>32</v>
      </c>
      <c r="G8" s="46" t="s">
        <v>361</v>
      </c>
      <c r="H8" s="46">
        <v>6.3216051799276897E-45</v>
      </c>
      <c r="I8" s="46" t="s">
        <v>564</v>
      </c>
      <c r="K8" s="46" t="s">
        <v>52</v>
      </c>
      <c r="L8" s="46" t="s">
        <v>438</v>
      </c>
      <c r="M8" s="46">
        <v>8.3372470068587959E-21</v>
      </c>
      <c r="N8" s="46" t="s">
        <v>564</v>
      </c>
      <c r="P8" s="46" t="s">
        <v>73</v>
      </c>
      <c r="Q8" s="46" t="s">
        <v>309</v>
      </c>
      <c r="R8" s="46">
        <v>5.4293870500541162E-13</v>
      </c>
      <c r="S8" s="46" t="s">
        <v>564</v>
      </c>
      <c r="U8" s="46" t="s">
        <v>91</v>
      </c>
      <c r="V8" s="46" t="s">
        <v>517</v>
      </c>
      <c r="W8" s="46">
        <v>3.2099407632417024E-20</v>
      </c>
      <c r="X8" s="46" t="s">
        <v>564</v>
      </c>
      <c r="Z8" s="46" t="s">
        <v>110</v>
      </c>
      <c r="AA8" s="46" t="s">
        <v>356</v>
      </c>
      <c r="AB8" s="46">
        <v>8.1378796509482317E-22</v>
      </c>
      <c r="AC8" s="46" t="s">
        <v>564</v>
      </c>
    </row>
    <row r="9" spans="1:29" x14ac:dyDescent="0.35">
      <c r="A9" s="46" t="s">
        <v>10</v>
      </c>
      <c r="B9" s="46" t="s">
        <v>211</v>
      </c>
      <c r="C9" s="46">
        <v>1.6594173281172403E-14</v>
      </c>
      <c r="D9" s="46" t="s">
        <v>564</v>
      </c>
      <c r="F9" s="46" t="s">
        <v>33</v>
      </c>
      <c r="G9" s="46" t="s">
        <v>362</v>
      </c>
      <c r="H9" s="46">
        <v>4.3238220214490794E-30</v>
      </c>
      <c r="I9" s="46" t="s">
        <v>564</v>
      </c>
      <c r="K9" s="46" t="s">
        <v>53</v>
      </c>
      <c r="L9" s="46" t="s">
        <v>439</v>
      </c>
      <c r="M9" s="46">
        <v>3.148964224600256E-21</v>
      </c>
      <c r="N9" s="46" t="s">
        <v>564</v>
      </c>
      <c r="P9" s="46" t="s">
        <v>74</v>
      </c>
      <c r="Q9" s="46" t="s">
        <v>319</v>
      </c>
      <c r="R9" s="46">
        <v>3.7009728042966999E-13</v>
      </c>
      <c r="S9" s="46" t="s">
        <v>564</v>
      </c>
      <c r="U9" s="46" t="s">
        <v>92</v>
      </c>
      <c r="V9" s="46" t="s">
        <v>518</v>
      </c>
      <c r="W9" s="46">
        <v>4.5005340698373303E-25</v>
      </c>
      <c r="X9" s="46" t="s">
        <v>564</v>
      </c>
      <c r="Z9" s="46" t="s">
        <v>111</v>
      </c>
      <c r="AA9" s="46" t="s">
        <v>347</v>
      </c>
      <c r="AB9" s="46">
        <v>1.4896249370969842E-15</v>
      </c>
      <c r="AC9" s="46" t="s">
        <v>564</v>
      </c>
    </row>
    <row r="10" spans="1:29" x14ac:dyDescent="0.35">
      <c r="A10" s="46" t="s">
        <v>11</v>
      </c>
      <c r="B10" s="46" t="s">
        <v>217</v>
      </c>
      <c r="C10" s="46">
        <v>6.4391354569551512E-13</v>
      </c>
      <c r="D10" s="46" t="s">
        <v>564</v>
      </c>
      <c r="F10" s="46" t="s">
        <v>34</v>
      </c>
      <c r="G10" s="46" t="s">
        <v>363</v>
      </c>
      <c r="H10" s="46">
        <v>8.8592819372135216E-19</v>
      </c>
      <c r="I10" s="46" t="s">
        <v>564</v>
      </c>
      <c r="K10" s="46" t="s">
        <v>54</v>
      </c>
      <c r="L10" s="46" t="s">
        <v>274</v>
      </c>
      <c r="M10" s="46">
        <v>2.1655430223066758E-15</v>
      </c>
      <c r="N10" s="46" t="s">
        <v>564</v>
      </c>
      <c r="P10" s="46" t="s">
        <v>75</v>
      </c>
      <c r="Q10" s="46" t="s">
        <v>309</v>
      </c>
      <c r="R10" s="46">
        <v>5.1869349501804181E-13</v>
      </c>
      <c r="S10" s="46" t="s">
        <v>564</v>
      </c>
      <c r="U10" s="46" t="s">
        <v>93</v>
      </c>
      <c r="V10" s="46" t="s">
        <v>272</v>
      </c>
      <c r="W10" s="46">
        <v>2.2884814381660305E-24</v>
      </c>
      <c r="X10" s="46" t="s">
        <v>564</v>
      </c>
      <c r="Z10" s="46" t="s">
        <v>112</v>
      </c>
      <c r="AA10" s="46" t="s">
        <v>306</v>
      </c>
      <c r="AB10" s="46">
        <v>1.0460719133979247E-9</v>
      </c>
      <c r="AC10" s="46" t="s">
        <v>564</v>
      </c>
    </row>
    <row r="11" spans="1:29" x14ac:dyDescent="0.35">
      <c r="A11" s="46" t="s">
        <v>12</v>
      </c>
      <c r="B11" s="46" t="s">
        <v>222</v>
      </c>
      <c r="C11" s="46">
        <v>6.0149782930191353E-12</v>
      </c>
      <c r="D11" s="46" t="s">
        <v>564</v>
      </c>
      <c r="F11" s="46" t="s">
        <v>35</v>
      </c>
      <c r="G11" s="46" t="s">
        <v>364</v>
      </c>
      <c r="H11" s="46">
        <v>1.2960689537110145E-15</v>
      </c>
      <c r="I11" s="46" t="s">
        <v>564</v>
      </c>
      <c r="K11" s="46" t="s">
        <v>55</v>
      </c>
      <c r="L11" s="46" t="s">
        <v>440</v>
      </c>
      <c r="M11" s="46">
        <v>1.6324651062501139E-18</v>
      </c>
      <c r="N11" s="46" t="s">
        <v>564</v>
      </c>
      <c r="P11" s="46" t="s">
        <v>76</v>
      </c>
      <c r="Q11" s="46" t="s">
        <v>473</v>
      </c>
      <c r="R11" s="46">
        <v>9.7362946108247839E-16</v>
      </c>
      <c r="S11" s="46" t="s">
        <v>564</v>
      </c>
      <c r="U11" s="46" t="s">
        <v>94</v>
      </c>
      <c r="V11" s="46" t="s">
        <v>257</v>
      </c>
      <c r="W11" s="46">
        <v>1.9736246565914014E-19</v>
      </c>
      <c r="X11" s="46" t="s">
        <v>564</v>
      </c>
      <c r="Z11" s="46" t="s">
        <v>113</v>
      </c>
      <c r="AA11" s="46" t="s">
        <v>274</v>
      </c>
      <c r="AB11" s="46">
        <v>2.2650812897358522E-15</v>
      </c>
      <c r="AC11" s="46" t="s">
        <v>564</v>
      </c>
    </row>
    <row r="12" spans="1:29" x14ac:dyDescent="0.35">
      <c r="A12" s="46" t="s">
        <v>13</v>
      </c>
      <c r="B12" s="46" t="s">
        <v>228</v>
      </c>
      <c r="C12" s="46">
        <v>1.4361485997186027E-24</v>
      </c>
      <c r="D12" s="46" t="s">
        <v>564</v>
      </c>
      <c r="F12" s="46" t="s">
        <v>36</v>
      </c>
      <c r="G12" s="46" t="s">
        <v>365</v>
      </c>
      <c r="H12" s="46">
        <v>3.0782775558958322E-34</v>
      </c>
      <c r="I12" s="46" t="s">
        <v>564</v>
      </c>
      <c r="K12" s="46" t="s">
        <v>56</v>
      </c>
      <c r="L12" s="46" t="s">
        <v>441</v>
      </c>
      <c r="M12" s="46">
        <v>1.2602116732608317E-22</v>
      </c>
      <c r="N12" s="46" t="s">
        <v>564</v>
      </c>
      <c r="P12" s="46" t="s">
        <v>77</v>
      </c>
      <c r="Q12" s="46" t="s">
        <v>477</v>
      </c>
      <c r="R12" s="46">
        <v>3.5978016370884241E-20</v>
      </c>
      <c r="S12" s="46" t="s">
        <v>564</v>
      </c>
      <c r="U12" s="46" t="s">
        <v>95</v>
      </c>
      <c r="V12" s="46" t="s">
        <v>364</v>
      </c>
      <c r="W12" s="46">
        <v>1.1916641491506886E-15</v>
      </c>
      <c r="X12" s="46" t="s">
        <v>564</v>
      </c>
      <c r="Z12" s="46" t="s">
        <v>114</v>
      </c>
      <c r="AA12" s="46" t="s">
        <v>405</v>
      </c>
      <c r="AB12" s="46">
        <v>4.9419474387253888E-8</v>
      </c>
      <c r="AC12" s="46" t="s">
        <v>564</v>
      </c>
    </row>
    <row r="13" spans="1:29" x14ac:dyDescent="0.35">
      <c r="A13" s="46" t="s">
        <v>14</v>
      </c>
      <c r="B13" s="46" t="s">
        <v>234</v>
      </c>
      <c r="C13" s="46">
        <v>6.2486483311303118E-16</v>
      </c>
      <c r="D13" s="46" t="s">
        <v>564</v>
      </c>
      <c r="F13" s="46" t="s">
        <v>37</v>
      </c>
      <c r="G13" s="46" t="s">
        <v>211</v>
      </c>
      <c r="H13" s="46">
        <v>1.5678080839998316E-14</v>
      </c>
      <c r="I13" s="46" t="s">
        <v>564</v>
      </c>
      <c r="K13" s="46" t="s">
        <v>57</v>
      </c>
      <c r="L13" s="46" t="s">
        <v>442</v>
      </c>
      <c r="M13" s="46">
        <v>5.9501764868394432E-25</v>
      </c>
      <c r="N13" s="46" t="s">
        <v>564</v>
      </c>
      <c r="P13" s="46" t="s">
        <v>78</v>
      </c>
      <c r="Q13" s="46" t="s">
        <v>478</v>
      </c>
      <c r="R13" s="46">
        <v>4.5397255145404177E-15</v>
      </c>
      <c r="S13" s="46" t="s">
        <v>564</v>
      </c>
      <c r="U13" s="46" t="s">
        <v>96</v>
      </c>
      <c r="V13" s="46" t="s">
        <v>519</v>
      </c>
      <c r="W13" s="46">
        <v>9.515207231497705E-18</v>
      </c>
      <c r="X13" s="46" t="s">
        <v>564</v>
      </c>
      <c r="Z13" s="46" t="s">
        <v>115</v>
      </c>
      <c r="AA13" s="46" t="s">
        <v>556</v>
      </c>
      <c r="AB13" s="46">
        <v>2.7094176940058449E-17</v>
      </c>
      <c r="AC13" s="46" t="s">
        <v>564</v>
      </c>
    </row>
    <row r="14" spans="1:29" x14ac:dyDescent="0.35">
      <c r="A14" s="46" t="s">
        <v>15</v>
      </c>
      <c r="B14" s="46" t="s">
        <v>237</v>
      </c>
      <c r="C14" s="46">
        <v>9.748100559084928E-20</v>
      </c>
      <c r="D14" s="46" t="s">
        <v>564</v>
      </c>
      <c r="F14" s="46" t="s">
        <v>38</v>
      </c>
      <c r="G14" s="46" t="s">
        <v>186</v>
      </c>
      <c r="H14" s="46">
        <v>4.1249353534505767E-20</v>
      </c>
      <c r="I14" s="46" t="s">
        <v>564</v>
      </c>
      <c r="K14" s="46" t="s">
        <v>58</v>
      </c>
      <c r="L14" s="46" t="s">
        <v>216</v>
      </c>
      <c r="M14" s="46">
        <v>9.1299326165803451E-11</v>
      </c>
      <c r="N14" s="46" t="s">
        <v>564</v>
      </c>
      <c r="P14" s="46" t="s">
        <v>79</v>
      </c>
      <c r="Q14" s="46" t="s">
        <v>480</v>
      </c>
      <c r="R14" s="46">
        <v>3.8448960759217394E-14</v>
      </c>
      <c r="S14" s="46" t="s">
        <v>564</v>
      </c>
      <c r="U14" s="46" t="s">
        <v>97</v>
      </c>
      <c r="V14" s="46" t="s">
        <v>520</v>
      </c>
      <c r="W14" s="46">
        <v>1.6895462750253799E-18</v>
      </c>
      <c r="X14" s="46" t="s">
        <v>564</v>
      </c>
      <c r="Z14" s="46" t="s">
        <v>116</v>
      </c>
      <c r="AA14" s="46" t="s">
        <v>290</v>
      </c>
      <c r="AB14" s="46">
        <v>6.7814126413644507E-19</v>
      </c>
      <c r="AC14" s="46" t="s">
        <v>564</v>
      </c>
    </row>
    <row r="15" spans="1:29" x14ac:dyDescent="0.35">
      <c r="A15" s="46" t="s">
        <v>16</v>
      </c>
      <c r="B15" s="46" t="s">
        <v>240</v>
      </c>
      <c r="C15" s="46">
        <v>2.7892608033030887E-23</v>
      </c>
      <c r="D15" s="46" t="s">
        <v>564</v>
      </c>
      <c r="F15" s="46" t="s">
        <v>39</v>
      </c>
      <c r="G15" s="46" t="s">
        <v>366</v>
      </c>
      <c r="H15" s="46">
        <v>8.157822710312224E-26</v>
      </c>
      <c r="I15" s="46" t="s">
        <v>564</v>
      </c>
      <c r="K15" s="46" t="s">
        <v>59</v>
      </c>
      <c r="L15" s="46" t="s">
        <v>443</v>
      </c>
      <c r="M15" s="46">
        <v>1.3855733837077052E-33</v>
      </c>
      <c r="N15" s="46" t="s">
        <v>564</v>
      </c>
      <c r="P15" s="46" t="s">
        <v>80</v>
      </c>
      <c r="Q15" s="46" t="s">
        <v>481</v>
      </c>
      <c r="R15" s="46">
        <v>7.0955359992303114E-16</v>
      </c>
      <c r="S15" s="46" t="s">
        <v>564</v>
      </c>
      <c r="U15" s="46" t="s">
        <v>98</v>
      </c>
      <c r="V15" s="46" t="s">
        <v>202</v>
      </c>
      <c r="W15" s="46">
        <v>7.5793270302090596E-7</v>
      </c>
      <c r="X15" s="46" t="s">
        <v>564</v>
      </c>
      <c r="Z15" s="46" t="s">
        <v>117</v>
      </c>
      <c r="AA15" s="46" t="s">
        <v>490</v>
      </c>
      <c r="AB15" s="46">
        <v>1.2011976452410652E-18</v>
      </c>
      <c r="AC15" s="46" t="s">
        <v>564</v>
      </c>
    </row>
    <row r="16" spans="1:29" x14ac:dyDescent="0.35">
      <c r="A16" s="46" t="s">
        <v>17</v>
      </c>
      <c r="B16" s="46" t="s">
        <v>242</v>
      </c>
      <c r="C16" s="46">
        <v>3.7276017892167427E-18</v>
      </c>
      <c r="D16" s="46" t="s">
        <v>564</v>
      </c>
      <c r="F16" s="46" t="s">
        <v>40</v>
      </c>
      <c r="G16" s="46" t="s">
        <v>367</v>
      </c>
      <c r="H16" s="46">
        <v>3.2858344547646957E-36</v>
      </c>
      <c r="I16" s="46" t="s">
        <v>564</v>
      </c>
      <c r="K16" s="46" t="s">
        <v>60</v>
      </c>
      <c r="L16" s="46" t="s">
        <v>444</v>
      </c>
      <c r="M16" s="46">
        <v>1.578195025910622E-27</v>
      </c>
      <c r="N16" s="46" t="s">
        <v>564</v>
      </c>
      <c r="P16" s="46" t="s">
        <v>81</v>
      </c>
      <c r="Q16" s="46" t="s">
        <v>482</v>
      </c>
      <c r="R16" s="46">
        <v>4.0390060133446203E-11</v>
      </c>
      <c r="S16" s="46" t="s">
        <v>564</v>
      </c>
      <c r="U16" s="46" t="s">
        <v>99</v>
      </c>
      <c r="V16" s="46" t="s">
        <v>520</v>
      </c>
      <c r="W16" s="46">
        <v>1.6786155979841064E-18</v>
      </c>
      <c r="X16" s="46" t="s">
        <v>564</v>
      </c>
      <c r="Z16" s="46" t="s">
        <v>118</v>
      </c>
      <c r="AA16" s="46" t="s">
        <v>284</v>
      </c>
      <c r="AB16" s="46">
        <v>9.8134851228473352E-15</v>
      </c>
      <c r="AC16" s="46" t="s">
        <v>564</v>
      </c>
    </row>
    <row r="17" spans="1:29" x14ac:dyDescent="0.35">
      <c r="A17" s="46" t="s">
        <v>18</v>
      </c>
      <c r="B17" s="46" t="s">
        <v>243</v>
      </c>
      <c r="C17" s="46">
        <v>1.222807449292685E-17</v>
      </c>
      <c r="D17" s="46" t="s">
        <v>564</v>
      </c>
      <c r="F17" s="46" t="s">
        <v>41</v>
      </c>
      <c r="G17" s="46" t="s">
        <v>368</v>
      </c>
      <c r="H17" s="46">
        <v>3.9833708055627186E-33</v>
      </c>
      <c r="I17" s="46" t="s">
        <v>564</v>
      </c>
      <c r="K17" s="46" t="s">
        <v>61</v>
      </c>
      <c r="L17" s="46" t="s">
        <v>445</v>
      </c>
      <c r="M17" s="46">
        <v>1.026277074278225E-20</v>
      </c>
      <c r="N17" s="46" t="s">
        <v>564</v>
      </c>
      <c r="P17" s="46" t="s">
        <v>82</v>
      </c>
      <c r="Q17" s="46" t="s">
        <v>483</v>
      </c>
      <c r="R17" s="46">
        <v>3.4431244072681504E-16</v>
      </c>
      <c r="S17" s="46" t="s">
        <v>564</v>
      </c>
      <c r="U17" s="46" t="s">
        <v>100</v>
      </c>
      <c r="V17" s="46" t="s">
        <v>521</v>
      </c>
      <c r="W17" s="46">
        <v>5.4737334394178054E-8</v>
      </c>
      <c r="X17" s="46" t="s">
        <v>564</v>
      </c>
      <c r="Z17" s="46" t="s">
        <v>119</v>
      </c>
      <c r="AA17" s="46" t="s">
        <v>557</v>
      </c>
      <c r="AB17" s="46">
        <v>4.8759113494875532E-17</v>
      </c>
      <c r="AC17" s="46" t="s">
        <v>564</v>
      </c>
    </row>
    <row r="18" spans="1:29" x14ac:dyDescent="0.35">
      <c r="A18" s="46" t="s">
        <v>19</v>
      </c>
      <c r="B18" s="46" t="s">
        <v>244</v>
      </c>
      <c r="C18" s="46">
        <v>3.7367135169336125E-22</v>
      </c>
      <c r="D18" s="46" t="s">
        <v>564</v>
      </c>
      <c r="F18" s="46" t="s">
        <v>42</v>
      </c>
      <c r="G18" s="46" t="s">
        <v>359</v>
      </c>
      <c r="H18" s="46">
        <v>2.1101507876395909E-21</v>
      </c>
      <c r="I18" s="46" t="s">
        <v>564</v>
      </c>
      <c r="K18" s="46" t="s">
        <v>62</v>
      </c>
      <c r="L18" s="46" t="s">
        <v>446</v>
      </c>
      <c r="M18" s="46">
        <v>2.4756037949506155E-12</v>
      </c>
      <c r="N18" s="46" t="s">
        <v>564</v>
      </c>
      <c r="P18" s="46" t="s">
        <v>83</v>
      </c>
      <c r="Q18" s="46" t="s">
        <v>243</v>
      </c>
      <c r="R18" s="46">
        <v>1.4195474294178991E-17</v>
      </c>
      <c r="S18" s="46" t="s">
        <v>564</v>
      </c>
      <c r="U18" s="46" t="s">
        <v>101</v>
      </c>
      <c r="V18" s="46" t="s">
        <v>353</v>
      </c>
      <c r="W18" s="46">
        <v>8.8615550976874204E-10</v>
      </c>
      <c r="X18" s="46" t="s">
        <v>564</v>
      </c>
      <c r="Z18" s="46" t="s">
        <v>120</v>
      </c>
      <c r="AA18" s="46" t="s">
        <v>496</v>
      </c>
      <c r="AB18" s="46">
        <v>3.9098896961934072E-12</v>
      </c>
      <c r="AC18" s="46" t="s">
        <v>564</v>
      </c>
    </row>
    <row r="19" spans="1:29" x14ac:dyDescent="0.35">
      <c r="F19" s="46" t="s">
        <v>43</v>
      </c>
      <c r="G19" s="46" t="s">
        <v>240</v>
      </c>
      <c r="H19" s="46">
        <v>2.5118559165658107E-23</v>
      </c>
      <c r="I19" s="46" t="s">
        <v>564</v>
      </c>
      <c r="K19" s="46" t="s">
        <v>63</v>
      </c>
      <c r="L19" s="46" t="s">
        <v>340</v>
      </c>
      <c r="M19" s="46">
        <v>1.8343751995807659E-14</v>
      </c>
      <c r="N19" s="46" t="s">
        <v>564</v>
      </c>
      <c r="U19" s="46" t="s">
        <v>102</v>
      </c>
      <c r="V19" s="46" t="s">
        <v>522</v>
      </c>
      <c r="W19" s="46">
        <v>5.2157803483345769E-21</v>
      </c>
      <c r="X19" s="46" t="s">
        <v>564</v>
      </c>
      <c r="Z19" s="46" t="s">
        <v>121</v>
      </c>
      <c r="AA19" s="46" t="s">
        <v>168</v>
      </c>
      <c r="AB19" s="46">
        <v>1.6199202353253986E-11</v>
      </c>
      <c r="AC19" s="46" t="s">
        <v>564</v>
      </c>
    </row>
    <row r="20" spans="1:29" x14ac:dyDescent="0.35">
      <c r="F20" s="46" t="s">
        <v>44</v>
      </c>
      <c r="G20" s="46" t="s">
        <v>558</v>
      </c>
      <c r="H20" s="46">
        <v>2.4454125583352235E-42</v>
      </c>
      <c r="I20" s="46" t="s">
        <v>564</v>
      </c>
      <c r="K20" s="46" t="s">
        <v>64</v>
      </c>
      <c r="L20" s="46" t="s">
        <v>274</v>
      </c>
      <c r="M20" s="46">
        <v>2.2326735310777861E-15</v>
      </c>
      <c r="N20" s="46" t="s">
        <v>564</v>
      </c>
      <c r="Z20" s="46" t="s">
        <v>122</v>
      </c>
      <c r="AA20" s="46" t="s">
        <v>561</v>
      </c>
      <c r="AB20" s="46">
        <v>8.0689693135154523E-14</v>
      </c>
      <c r="AC20" s="46" t="s">
        <v>564</v>
      </c>
    </row>
    <row r="21" spans="1:29" x14ac:dyDescent="0.35">
      <c r="K21" s="46" t="s">
        <v>65</v>
      </c>
      <c r="L21" s="46" t="s">
        <v>559</v>
      </c>
      <c r="M21" s="46">
        <v>5.6630943517300426E-26</v>
      </c>
      <c r="N21" s="46" t="s">
        <v>564</v>
      </c>
      <c r="Z21" s="46" t="s">
        <v>123</v>
      </c>
      <c r="AA21" s="46" t="s">
        <v>562</v>
      </c>
      <c r="AB21" s="46">
        <v>6.2812239494007949E-35</v>
      </c>
      <c r="AC21" s="46" t="s">
        <v>564</v>
      </c>
    </row>
    <row r="22" spans="1:29" x14ac:dyDescent="0.35">
      <c r="Z22" s="46" t="s">
        <v>124</v>
      </c>
      <c r="AA22" s="46" t="s">
        <v>489</v>
      </c>
      <c r="AB22" s="46">
        <v>5.7877502151583809E-9</v>
      </c>
      <c r="AC22" s="46" t="s">
        <v>564</v>
      </c>
    </row>
    <row r="23" spans="1:29" x14ac:dyDescent="0.35">
      <c r="Z23" s="46" t="s">
        <v>125</v>
      </c>
      <c r="AA23" s="46" t="s">
        <v>563</v>
      </c>
      <c r="AB23" s="46">
        <v>1.0742444544077284E-16</v>
      </c>
      <c r="AC23" s="46" t="s">
        <v>564</v>
      </c>
    </row>
    <row r="24" spans="1:29" x14ac:dyDescent="0.35">
      <c r="Z24" s="46" t="s">
        <v>126</v>
      </c>
      <c r="AA24" s="46" t="s">
        <v>402</v>
      </c>
      <c r="AB24" s="46">
        <v>1.4786919153673864E-12</v>
      </c>
      <c r="AC24" s="46" t="s">
        <v>564</v>
      </c>
    </row>
    <row r="25" spans="1:29" x14ac:dyDescent="0.35">
      <c r="Z25" s="46" t="s">
        <v>127</v>
      </c>
      <c r="AA25" s="46" t="s">
        <v>242</v>
      </c>
      <c r="AB25" s="46">
        <v>3.4135666289904017E-18</v>
      </c>
      <c r="AC25" s="46" t="s">
        <v>564</v>
      </c>
    </row>
    <row r="26" spans="1:29" x14ac:dyDescent="0.35">
      <c r="Z26" s="46" t="s">
        <v>128</v>
      </c>
      <c r="AA26" s="46" t="s">
        <v>553</v>
      </c>
      <c r="AB26" s="46">
        <v>2.6290198331013921E-14</v>
      </c>
      <c r="AC26" s="46" t="s">
        <v>564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2097C-6EA8-478D-AA3E-FB60BC125CFC}">
  <dimension ref="A1:F23"/>
  <sheetViews>
    <sheetView tabSelected="1" workbookViewId="0">
      <selection activeCell="D1" sqref="D1:F7"/>
    </sheetView>
  </sheetViews>
  <sheetFormatPr defaultRowHeight="14.5" x14ac:dyDescent="0.35"/>
  <cols>
    <col min="4" max="4" width="25.54296875" style="48" bestFit="1" customWidth="1"/>
    <col min="5" max="5" width="16.1796875" style="48" bestFit="1" customWidth="1"/>
    <col min="6" max="6" width="10.81640625" style="48" bestFit="1" customWidth="1"/>
  </cols>
  <sheetData>
    <row r="1" spans="1:6" x14ac:dyDescent="0.35">
      <c r="A1" s="40" t="s">
        <v>565</v>
      </c>
      <c r="B1" s="40"/>
      <c r="C1" s="41"/>
      <c r="D1" s="46" t="s">
        <v>568</v>
      </c>
      <c r="E1" s="46" t="s">
        <v>566</v>
      </c>
      <c r="F1" s="46" t="s">
        <v>132</v>
      </c>
    </row>
    <row r="2" spans="1:6" ht="24" x14ac:dyDescent="0.35">
      <c r="A2" s="42" t="s">
        <v>566</v>
      </c>
      <c r="B2" s="43" t="s">
        <v>567</v>
      </c>
      <c r="C2" s="41"/>
      <c r="D2" s="46" t="s">
        <v>20</v>
      </c>
      <c r="E2" s="46" cm="1">
        <f t="array" ref="E2">INDEX(A:A,(ROW()*4)-(ROW($A$2)*3)+1)</f>
        <v>0.86630577635390593</v>
      </c>
      <c r="F2" s="46" t="str">
        <f>IF(E2&gt;0.6,"Reliabel","Tidak Reliabel")</f>
        <v>Reliabel</v>
      </c>
    </row>
    <row r="3" spans="1:6" ht="14.5" customHeight="1" x14ac:dyDescent="0.35">
      <c r="A3" s="44">
        <v>0.86630577635390593</v>
      </c>
      <c r="B3" s="45">
        <v>17</v>
      </c>
      <c r="C3" s="41"/>
      <c r="D3" s="46" t="s">
        <v>45</v>
      </c>
      <c r="E3" s="46" cm="1">
        <f t="array" ref="E3">INDEX(A:A,(ROW()*4)-(ROW($A$2)*3)+1)</f>
        <v>0.91676755115047859</v>
      </c>
      <c r="F3" s="46" t="str">
        <f t="shared" ref="F3:F7" si="0">IF(E3&gt;0.6,"Reliabel","Tidak Reliabel")</f>
        <v>Reliabel</v>
      </c>
    </row>
    <row r="4" spans="1:6" x14ac:dyDescent="0.35">
      <c r="C4" s="41"/>
      <c r="D4" s="46" t="s">
        <v>569</v>
      </c>
      <c r="E4" s="46" cm="1">
        <f t="array" ref="E4">INDEX(A:A,(ROW()*4)-(ROW($A$2)*3)+1)</f>
        <v>0.88304124287891983</v>
      </c>
      <c r="F4" s="46" t="str">
        <f t="shared" si="0"/>
        <v>Reliabel</v>
      </c>
    </row>
    <row r="5" spans="1:6" x14ac:dyDescent="0.35">
      <c r="A5" s="40" t="s">
        <v>565</v>
      </c>
      <c r="B5" s="40"/>
      <c r="C5" s="41"/>
      <c r="D5" s="46" t="s">
        <v>84</v>
      </c>
      <c r="E5" s="46" cm="1">
        <f t="array" ref="E5">INDEX(A:A,(ROW()*4)-(ROW($A$2)*3)+1)</f>
        <v>0.81318645378997734</v>
      </c>
      <c r="F5" s="46" t="str">
        <f t="shared" si="0"/>
        <v>Reliabel</v>
      </c>
    </row>
    <row r="6" spans="1:6" ht="24" x14ac:dyDescent="0.35">
      <c r="A6" s="42" t="s">
        <v>566</v>
      </c>
      <c r="B6" s="43" t="s">
        <v>567</v>
      </c>
      <c r="C6" s="41"/>
      <c r="D6" s="46" t="s">
        <v>103</v>
      </c>
      <c r="E6" s="46" cm="1">
        <f t="array" ref="E6">INDEX(A:A,(ROW()*4)-(ROW($A$2)*3)+1)</f>
        <v>0.83686104257376281</v>
      </c>
      <c r="F6" s="46" t="str">
        <f t="shared" si="0"/>
        <v>Reliabel</v>
      </c>
    </row>
    <row r="7" spans="1:6" ht="14.5" customHeight="1" x14ac:dyDescent="0.35">
      <c r="A7" s="44">
        <v>0.91676755115047859</v>
      </c>
      <c r="B7" s="45">
        <v>19</v>
      </c>
      <c r="C7" s="41"/>
      <c r="D7" s="46" t="s">
        <v>129</v>
      </c>
      <c r="E7" s="46" cm="1">
        <f t="array" ref="E7">INDEX(A:A,(ROW()*4)-(ROW($A$2)*3)+1)</f>
        <v>0.86814801250929186</v>
      </c>
      <c r="F7" s="46" t="str">
        <f t="shared" si="0"/>
        <v>Reliabel</v>
      </c>
    </row>
    <row r="8" spans="1:6" x14ac:dyDescent="0.35">
      <c r="A8" s="41"/>
      <c r="B8" s="41"/>
      <c r="C8" s="41"/>
    </row>
    <row r="9" spans="1:6" x14ac:dyDescent="0.35">
      <c r="A9" s="40" t="s">
        <v>565</v>
      </c>
      <c r="B9" s="40"/>
      <c r="C9" s="41"/>
    </row>
    <row r="10" spans="1:6" ht="24" x14ac:dyDescent="0.35">
      <c r="A10" s="42" t="s">
        <v>566</v>
      </c>
      <c r="B10" s="43" t="s">
        <v>567</v>
      </c>
      <c r="C10" s="41"/>
    </row>
    <row r="11" spans="1:6" ht="14.5" customHeight="1" x14ac:dyDescent="0.35">
      <c r="A11" s="44">
        <v>0.88304124287891983</v>
      </c>
      <c r="B11" s="45">
        <v>20</v>
      </c>
      <c r="C11" s="41"/>
    </row>
    <row r="12" spans="1:6" x14ac:dyDescent="0.35">
      <c r="A12" s="41"/>
      <c r="B12" s="41"/>
      <c r="C12" s="41"/>
    </row>
    <row r="13" spans="1:6" x14ac:dyDescent="0.35">
      <c r="A13" s="40" t="s">
        <v>565</v>
      </c>
      <c r="B13" s="40"/>
      <c r="C13" s="41"/>
    </row>
    <row r="14" spans="1:6" ht="24" x14ac:dyDescent="0.35">
      <c r="A14" s="42" t="s">
        <v>566</v>
      </c>
      <c r="B14" s="43" t="s">
        <v>567</v>
      </c>
      <c r="C14" s="41"/>
    </row>
    <row r="15" spans="1:6" ht="14.5" customHeight="1" x14ac:dyDescent="0.35">
      <c r="A15" s="44">
        <v>0.81318645378997734</v>
      </c>
      <c r="B15" s="45">
        <v>17</v>
      </c>
      <c r="C15" s="41"/>
    </row>
    <row r="16" spans="1:6" x14ac:dyDescent="0.35">
      <c r="A16" s="41"/>
      <c r="B16" s="41"/>
      <c r="C16" s="41"/>
    </row>
    <row r="17" spans="1:3" x14ac:dyDescent="0.35">
      <c r="A17" s="40" t="s">
        <v>565</v>
      </c>
      <c r="B17" s="40"/>
      <c r="C17" s="41"/>
    </row>
    <row r="18" spans="1:3" ht="24" x14ac:dyDescent="0.35">
      <c r="A18" s="42" t="s">
        <v>566</v>
      </c>
      <c r="B18" s="43" t="s">
        <v>567</v>
      </c>
      <c r="C18" s="41"/>
    </row>
    <row r="19" spans="1:3" ht="14.5" customHeight="1" x14ac:dyDescent="0.35">
      <c r="A19" s="44">
        <v>0.83686104257376281</v>
      </c>
      <c r="B19" s="45">
        <v>18</v>
      </c>
      <c r="C19" s="41"/>
    </row>
    <row r="20" spans="1:3" x14ac:dyDescent="0.35">
      <c r="A20" s="41"/>
      <c r="B20" s="41"/>
    </row>
    <row r="21" spans="1:3" x14ac:dyDescent="0.35">
      <c r="A21" s="40" t="s">
        <v>565</v>
      </c>
      <c r="B21" s="40"/>
    </row>
    <row r="22" spans="1:3" ht="24" x14ac:dyDescent="0.35">
      <c r="A22" s="42" t="s">
        <v>566</v>
      </c>
      <c r="B22" s="43" t="s">
        <v>567</v>
      </c>
    </row>
    <row r="23" spans="1:3" x14ac:dyDescent="0.35">
      <c r="A23" s="44">
        <v>0.86814801250929186</v>
      </c>
      <c r="B23" s="45">
        <v>25</v>
      </c>
    </row>
  </sheetData>
  <mergeCells count="6">
    <mergeCell ref="A5:B5"/>
    <mergeCell ref="A9:B9"/>
    <mergeCell ref="A13:B13"/>
    <mergeCell ref="A17:B17"/>
    <mergeCell ref="A21:B21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Validitas</vt:lpstr>
      <vt:lpstr>Rangkuman Validitas</vt:lpstr>
      <vt:lpstr>Reliabilitas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2025-04-29T22:58:29Z</dcterms:created>
  <dcterms:modified xsi:type="dcterms:W3CDTF">2025-04-30T00:06:43Z</dcterms:modified>
</cp:coreProperties>
</file>