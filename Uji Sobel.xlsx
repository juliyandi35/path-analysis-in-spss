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P85240425 (Path Analysis in SPSS)\"/>
    </mc:Choice>
  </mc:AlternateContent>
  <xr:revisionPtr revIDLastSave="0" documentId="13_ncr:1_{BF9A0918-6FE7-4B1A-8709-7C445B9B75D9}" xr6:coauthVersionLast="47" xr6:coauthVersionMax="47" xr10:uidLastSave="{00000000-0000-0000-0000-000000000000}"/>
  <bookViews>
    <workbookView xWindow="-110" yWindow="-110" windowWidth="19420" windowHeight="10300" xr2:uid="{2E659EBD-5F20-43C5-8F96-D7E7FE90A6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B26" i="1" s="1"/>
  <c r="B19" i="1"/>
  <c r="B14" i="1"/>
  <c r="B21" i="1"/>
  <c r="B16" i="1"/>
</calcChain>
</file>

<file path=xl/sharedStrings.xml><?xml version="1.0" encoding="utf-8"?>
<sst xmlns="http://schemas.openxmlformats.org/spreadsheetml/2006/main" count="43" uniqueCount="25">
  <si>
    <t>B</t>
  </si>
  <si>
    <t>Std. Error</t>
  </si>
  <si>
    <t>(Constant)</t>
  </si>
  <si>
    <t>Budaya Organisasi</t>
  </si>
  <si>
    <t>Pemberdayaan</t>
  </si>
  <si>
    <t>Kepuasan Kerja</t>
  </si>
  <si>
    <t>Model</t>
  </si>
  <si>
    <t>Unstandardized Coefficients</t>
  </si>
  <si>
    <t>Standardized Coefficients</t>
  </si>
  <si>
    <t>t</t>
  </si>
  <si>
    <t>Sig.</t>
  </si>
  <si>
    <t>Beta</t>
  </si>
  <si>
    <t>Tata Kelola Keuangan</t>
  </si>
  <si>
    <t>a. Dependent Variable: Kepuasan Kerja</t>
  </si>
  <si>
    <t>Tunjangan Sertifikasi Dosen</t>
  </si>
  <si>
    <t>a. Dependent Variable: Kinerja Dosen</t>
  </si>
  <si>
    <t>Model 1</t>
  </si>
  <si>
    <t>Model 2</t>
  </si>
  <si>
    <t>Uji Sobel</t>
  </si>
  <si>
    <t>BO -&gt; KK -&gt; KD</t>
  </si>
  <si>
    <t>P -&gt; KK -&gt; KD</t>
  </si>
  <si>
    <t>TKA -&gt; KK -&gt; KD</t>
  </si>
  <si>
    <t>t hitung</t>
  </si>
  <si>
    <t>t tabel</t>
  </si>
  <si>
    <t>Keterangan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</si>
</sst>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rgb="FF010205"/>
      <name val="Arial"/>
      <family val="2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0E0E0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E0E0E0"/>
      </right>
      <top/>
      <bottom/>
      <diagonal/>
    </border>
    <border>
      <left/>
      <right style="medium">
        <color rgb="FFE0E0E0"/>
      </right>
      <top/>
      <bottom style="medium">
        <color rgb="FF152935"/>
      </bottom>
      <diagonal/>
    </border>
    <border>
      <left/>
      <right/>
      <top style="medium">
        <color rgb="FF152935"/>
      </top>
      <bottom/>
      <diagonal/>
    </border>
    <border>
      <left/>
      <right/>
      <top/>
      <bottom style="medium">
        <color rgb="FF152935"/>
      </bottom>
      <diagonal/>
    </border>
    <border>
      <left/>
      <right/>
      <top style="medium">
        <color rgb="FF152935"/>
      </top>
      <bottom style="medium">
        <color rgb="FFAEAEAE"/>
      </bottom>
      <diagonal/>
    </border>
    <border>
      <left/>
      <right style="medium">
        <color rgb="FFE0E0E0"/>
      </right>
      <top/>
      <bottom style="medium">
        <color rgb="FFAEAEAE"/>
      </bottom>
      <diagonal/>
    </border>
    <border>
      <left/>
      <right style="medium">
        <color rgb="FFE0E0E0"/>
      </right>
      <top style="medium">
        <color rgb="FF152935"/>
      </top>
      <bottom style="medium">
        <color rgb="FFAEAEAE"/>
      </bottom>
      <diagonal/>
    </border>
    <border>
      <left/>
      <right/>
      <top/>
      <bottom style="medium">
        <color rgb="FFAEAEAE"/>
      </bottom>
      <diagonal/>
    </border>
    <border>
      <left style="medium">
        <color rgb="FFE0E0E0"/>
      </left>
      <right style="medium">
        <color rgb="FFE0E0E0"/>
      </right>
      <top/>
      <bottom/>
      <diagonal/>
    </border>
    <border>
      <left style="medium">
        <color rgb="FFE0E0E0"/>
      </left>
      <right style="medium">
        <color rgb="FFE0E0E0"/>
      </right>
      <top/>
      <bottom style="medium">
        <color rgb="FF152935"/>
      </bottom>
      <diagonal/>
    </border>
    <border>
      <left style="medium">
        <color rgb="FFE0E0E0"/>
      </left>
      <right/>
      <top/>
      <bottom/>
      <diagonal/>
    </border>
    <border>
      <left style="medium">
        <color rgb="FFE0E0E0"/>
      </left>
      <right/>
      <top/>
      <bottom style="medium">
        <color rgb="FF152935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right" vertical="center" wrapText="1"/>
    </xf>
    <xf numFmtId="0" fontId="3" fillId="2" borderId="8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4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170" fontId="3" fillId="2" borderId="6" xfId="0" applyNumberFormat="1" applyFont="1" applyFill="1" applyBorder="1" applyAlignment="1">
      <alignment horizontal="right" vertical="center" wrapText="1"/>
    </xf>
    <xf numFmtId="170" fontId="3" fillId="2" borderId="7" xfId="0" applyNumberFormat="1" applyFont="1" applyFill="1" applyBorder="1" applyAlignment="1">
      <alignment horizontal="right" vertical="center" wrapText="1"/>
    </xf>
    <xf numFmtId="170" fontId="3" fillId="2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D6C44-9BAF-4215-ABC8-D5470F1A1BD0}">
  <dimension ref="A1:O26"/>
  <sheetViews>
    <sheetView tabSelected="1" workbookViewId="0">
      <selection activeCell="A8" sqref="A8:G8"/>
    </sheetView>
  </sheetViews>
  <sheetFormatPr defaultRowHeight="14.5" x14ac:dyDescent="0.35"/>
  <sheetData>
    <row r="1" spans="1:15" ht="16" customHeight="1" x14ac:dyDescent="0.35">
      <c r="A1" s="12" t="s">
        <v>16</v>
      </c>
      <c r="B1" s="12"/>
      <c r="C1" s="12"/>
      <c r="D1" s="12"/>
      <c r="E1" s="12"/>
      <c r="F1" s="12"/>
      <c r="G1" s="12"/>
      <c r="I1" s="12" t="s">
        <v>17</v>
      </c>
      <c r="J1" s="12"/>
      <c r="K1" s="12"/>
      <c r="L1" s="12"/>
      <c r="M1" s="12"/>
      <c r="N1" s="12"/>
      <c r="O1" s="12"/>
    </row>
    <row r="2" spans="1:15" ht="46" x14ac:dyDescent="0.35">
      <c r="A2" s="13" t="s">
        <v>6</v>
      </c>
      <c r="B2" s="13"/>
      <c r="C2" s="15" t="s">
        <v>7</v>
      </c>
      <c r="D2" s="16"/>
      <c r="E2" s="1" t="s">
        <v>8</v>
      </c>
      <c r="F2" s="17" t="s">
        <v>9</v>
      </c>
      <c r="G2" s="19" t="s">
        <v>10</v>
      </c>
      <c r="I2" s="13" t="s">
        <v>6</v>
      </c>
      <c r="J2" s="13"/>
      <c r="K2" s="15" t="s">
        <v>7</v>
      </c>
      <c r="L2" s="16"/>
      <c r="M2" s="1" t="s">
        <v>8</v>
      </c>
      <c r="N2" s="17" t="s">
        <v>9</v>
      </c>
      <c r="O2" s="19" t="s">
        <v>10</v>
      </c>
    </row>
    <row r="3" spans="1:15" ht="15" thickBot="1" x14ac:dyDescent="0.4">
      <c r="A3" s="14"/>
      <c r="B3" s="14"/>
      <c r="C3" s="2" t="s">
        <v>0</v>
      </c>
      <c r="D3" s="2" t="s">
        <v>1</v>
      </c>
      <c r="E3" s="2" t="s">
        <v>11</v>
      </c>
      <c r="F3" s="18"/>
      <c r="G3" s="20"/>
      <c r="I3" s="14"/>
      <c r="J3" s="14"/>
      <c r="K3" s="2" t="s">
        <v>0</v>
      </c>
      <c r="L3" s="2" t="s">
        <v>1</v>
      </c>
      <c r="M3" s="2" t="s">
        <v>11</v>
      </c>
      <c r="N3" s="18"/>
      <c r="O3" s="20"/>
    </row>
    <row r="4" spans="1:15" ht="16" thickBot="1" x14ac:dyDescent="0.4">
      <c r="A4" s="21">
        <v>1</v>
      </c>
      <c r="B4" s="3" t="s">
        <v>2</v>
      </c>
      <c r="C4" s="25">
        <v>13.882</v>
      </c>
      <c r="D4" s="25">
        <v>2.1960000000000002</v>
      </c>
      <c r="E4" s="4"/>
      <c r="F4" s="26">
        <v>6.3209999999999997</v>
      </c>
      <c r="G4" s="5">
        <v>0</v>
      </c>
      <c r="I4" s="21">
        <v>1</v>
      </c>
      <c r="J4" s="3" t="s">
        <v>2</v>
      </c>
      <c r="K4" s="25">
        <v>15.356999999999999</v>
      </c>
      <c r="L4" s="25">
        <v>4.5369999999999999</v>
      </c>
      <c r="M4" s="4"/>
      <c r="N4" s="26">
        <v>3.3849999999999998</v>
      </c>
      <c r="O4" s="5">
        <v>1E-3</v>
      </c>
    </row>
    <row r="5" spans="1:15" ht="23.5" thickBot="1" x14ac:dyDescent="0.4">
      <c r="A5" s="22"/>
      <c r="B5" s="6" t="s">
        <v>3</v>
      </c>
      <c r="C5" s="7">
        <v>0.315</v>
      </c>
      <c r="D5" s="7">
        <v>5.3999999999999999E-2</v>
      </c>
      <c r="E5" s="7">
        <v>0.36899999999999999</v>
      </c>
      <c r="F5" s="25">
        <v>5.7770000000000001</v>
      </c>
      <c r="G5" s="8">
        <v>0</v>
      </c>
      <c r="I5" s="22"/>
      <c r="J5" s="6" t="s">
        <v>3</v>
      </c>
      <c r="K5" s="7">
        <v>7.4999999999999997E-2</v>
      </c>
      <c r="L5" s="7">
        <v>0.11600000000000001</v>
      </c>
      <c r="M5" s="7">
        <v>5.2999999999999999E-2</v>
      </c>
      <c r="N5" s="7">
        <v>0.64</v>
      </c>
      <c r="O5" s="8">
        <v>0.52300000000000002</v>
      </c>
    </row>
    <row r="6" spans="1:15" ht="23.5" thickBot="1" x14ac:dyDescent="0.4">
      <c r="A6" s="22"/>
      <c r="B6" s="6" t="s">
        <v>4</v>
      </c>
      <c r="C6" s="7">
        <v>0.155</v>
      </c>
      <c r="D6" s="7">
        <v>3.4000000000000002E-2</v>
      </c>
      <c r="E6" s="7">
        <v>0.251</v>
      </c>
      <c r="F6" s="25">
        <v>4.5549999999999997</v>
      </c>
      <c r="G6" s="8">
        <v>0</v>
      </c>
      <c r="I6" s="22"/>
      <c r="J6" s="6" t="s">
        <v>4</v>
      </c>
      <c r="K6" s="7">
        <v>-0.04</v>
      </c>
      <c r="L6" s="7">
        <v>5.5E-2</v>
      </c>
      <c r="M6" s="7">
        <v>-3.9E-2</v>
      </c>
      <c r="N6" s="7">
        <v>-0.72799999999999998</v>
      </c>
      <c r="O6" s="8">
        <v>0.46700000000000003</v>
      </c>
    </row>
    <row r="7" spans="1:15" ht="35" thickBot="1" x14ac:dyDescent="0.4">
      <c r="A7" s="23"/>
      <c r="B7" s="9" t="s">
        <v>12</v>
      </c>
      <c r="C7" s="10">
        <v>0.20699999999999999</v>
      </c>
      <c r="D7" s="10">
        <v>5.2999999999999999E-2</v>
      </c>
      <c r="E7" s="10">
        <v>0.29099999999999998</v>
      </c>
      <c r="F7" s="27">
        <v>3.93</v>
      </c>
      <c r="G7" s="11">
        <v>0</v>
      </c>
      <c r="I7" s="22"/>
      <c r="J7" s="6" t="s">
        <v>12</v>
      </c>
      <c r="K7" s="7">
        <v>0.68500000000000005</v>
      </c>
      <c r="L7" s="7">
        <v>8.6999999999999994E-2</v>
      </c>
      <c r="M7" s="7">
        <v>0.57699999999999996</v>
      </c>
      <c r="N7" s="25">
        <v>7.9089999999999998</v>
      </c>
      <c r="O7" s="8">
        <v>0</v>
      </c>
    </row>
    <row r="8" spans="1:15" ht="23.5" thickBot="1" x14ac:dyDescent="0.4">
      <c r="A8" s="24" t="s">
        <v>13</v>
      </c>
      <c r="B8" s="24"/>
      <c r="C8" s="24"/>
      <c r="D8" s="24"/>
      <c r="E8" s="24"/>
      <c r="F8" s="24"/>
      <c r="G8" s="24"/>
      <c r="I8" s="22"/>
      <c r="J8" s="6" t="s">
        <v>5</v>
      </c>
      <c r="K8" s="7">
        <v>0.74199999999999999</v>
      </c>
      <c r="L8" s="7">
        <v>0.105</v>
      </c>
      <c r="M8" s="7">
        <v>0.44500000000000001</v>
      </c>
      <c r="N8" s="25">
        <v>7.0670000000000002</v>
      </c>
      <c r="O8" s="8">
        <v>0</v>
      </c>
    </row>
    <row r="9" spans="1:15" ht="35" thickBot="1" x14ac:dyDescent="0.4">
      <c r="I9" s="23"/>
      <c r="J9" s="9" t="s">
        <v>14</v>
      </c>
      <c r="K9" s="10">
        <v>-0.31900000000000001</v>
      </c>
      <c r="L9" s="10">
        <v>0.14499999999999999</v>
      </c>
      <c r="M9" s="10">
        <v>-0.17899999999999999</v>
      </c>
      <c r="N9" s="27">
        <v>-2.202</v>
      </c>
      <c r="O9" s="11">
        <v>2.9000000000000001E-2</v>
      </c>
    </row>
    <row r="10" spans="1:15" x14ac:dyDescent="0.35">
      <c r="I10" s="24" t="s">
        <v>15</v>
      </c>
      <c r="J10" s="24"/>
      <c r="K10" s="24"/>
      <c r="L10" s="24"/>
      <c r="M10" s="24"/>
      <c r="N10" s="24"/>
      <c r="O10" s="24"/>
    </row>
    <row r="12" spans="1:15" x14ac:dyDescent="0.35">
      <c r="A12" t="s">
        <v>18</v>
      </c>
    </row>
    <row r="13" spans="1:15" x14ac:dyDescent="0.35">
      <c r="A13" t="s">
        <v>19</v>
      </c>
    </row>
    <row r="14" spans="1:15" x14ac:dyDescent="0.35">
      <c r="A14" t="s">
        <v>22</v>
      </c>
      <c r="B14">
        <f>(C5*K8)/(SQRT(C5^2*L8^2+K8^2*D5^2))</f>
        <v>4.4986356159704561</v>
      </c>
    </row>
    <row r="15" spans="1:15" x14ac:dyDescent="0.35">
      <c r="A15" t="s">
        <v>23</v>
      </c>
      <c r="B15">
        <v>1.96</v>
      </c>
    </row>
    <row r="16" spans="1:15" x14ac:dyDescent="0.35">
      <c r="A16" t="s">
        <v>24</v>
      </c>
      <c r="B16" t="str">
        <f>IF(B14&gt;B15,"Sukses Intervensi","Gagal Intervensi")</f>
        <v>Sukses Intervensi</v>
      </c>
    </row>
    <row r="18" spans="1:2" x14ac:dyDescent="0.35">
      <c r="A18" t="s">
        <v>20</v>
      </c>
    </row>
    <row r="19" spans="1:2" x14ac:dyDescent="0.35">
      <c r="A19" t="s">
        <v>22</v>
      </c>
      <c r="B19">
        <f>(C6*K8)/(SQRT(C6^2*L8^2+K8^2*D6^2))</f>
        <v>3.8308422297562337</v>
      </c>
    </row>
    <row r="20" spans="1:2" x14ac:dyDescent="0.35">
      <c r="A20" t="s">
        <v>23</v>
      </c>
      <c r="B20">
        <v>1.96</v>
      </c>
    </row>
    <row r="21" spans="1:2" x14ac:dyDescent="0.35">
      <c r="A21" t="s">
        <v>24</v>
      </c>
      <c r="B21" t="str">
        <f>IF(B19&gt;B20,"Sukses Intervensi","Gagal Intervensi")</f>
        <v>Sukses Intervensi</v>
      </c>
    </row>
    <row r="23" spans="1:2" x14ac:dyDescent="0.35">
      <c r="A23" t="s">
        <v>21</v>
      </c>
    </row>
    <row r="24" spans="1:2" x14ac:dyDescent="0.35">
      <c r="A24" t="s">
        <v>22</v>
      </c>
      <c r="B24">
        <f>(C7*K8)/(SQRT(C7^2*L8^2+K8^2*D7^2))</f>
        <v>3.4183148395408112</v>
      </c>
    </row>
    <row r="25" spans="1:2" x14ac:dyDescent="0.35">
      <c r="A25" t="s">
        <v>23</v>
      </c>
      <c r="B25">
        <v>1.96</v>
      </c>
    </row>
    <row r="26" spans="1:2" x14ac:dyDescent="0.35">
      <c r="A26" t="s">
        <v>24</v>
      </c>
      <c r="B26" t="str">
        <f>IF(B24&gt;B25,"Sukses Intervensi","Gagal Intervensi")</f>
        <v>Sukses Intervensi</v>
      </c>
    </row>
  </sheetData>
  <mergeCells count="14">
    <mergeCell ref="I10:O10"/>
    <mergeCell ref="A8:G8"/>
    <mergeCell ref="I1:O1"/>
    <mergeCell ref="I2:J3"/>
    <mergeCell ref="K2:L2"/>
    <mergeCell ref="N2:N3"/>
    <mergeCell ref="O2:O3"/>
    <mergeCell ref="I4:I9"/>
    <mergeCell ref="A1:G1"/>
    <mergeCell ref="A2:B3"/>
    <mergeCell ref="C2:D2"/>
    <mergeCell ref="F2:F3"/>
    <mergeCell ref="G2:G3"/>
    <mergeCell ref="A4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2025-03-11T03:53:36Z</dcterms:created>
  <dcterms:modified xsi:type="dcterms:W3CDTF">2025-04-30T01:00:42Z</dcterms:modified>
</cp:coreProperties>
</file>